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3" max="3"/>
    <col width="20" customWidth="1" min="5" max="5"/>
  </cols>
  <sheetData>
    <row r="1">
      <c r="A1" s="1" t="inlineStr">
        <is>
          <t>Grant</t>
        </is>
      </c>
      <c r="B1" s="1" t="inlineStr">
        <is>
          <t>Line code</t>
        </is>
      </c>
      <c r="C1" s="1" t="inlineStr">
        <is>
          <t>Budget line</t>
        </is>
      </c>
      <c r="D1" s="1" t="inlineStr">
        <is>
          <t>Budget</t>
        </is>
      </c>
      <c r="E1" s="1" t="inlineStr">
        <is>
          <t>Allowable spent to date</t>
        </is>
      </c>
      <c r="F1" s="1" t="inlineStr">
        <is>
          <t>Remaining</t>
        </is>
      </c>
      <c r="G1" s="1" t="inlineStr">
        <is>
          <t>Disallowed</t>
        </is>
      </c>
    </row>
    <row r="2">
      <c r="A2" t="inlineStr">
        <is>
          <t>State Clean Water Fund - Mill Creek Restoration</t>
        </is>
      </c>
      <c r="B2" t="inlineStr">
        <is>
          <t>SCWF-PER</t>
        </is>
      </c>
      <c r="C2" t="inlineStr">
        <is>
          <t>Restoration personnel</t>
        </is>
      </c>
      <c r="D2" s="2" t="n">
        <v>38000</v>
      </c>
      <c r="E2">
        <f>SUMIFS(Detail!$H$2:$H$67,Detail!$F$2:$F$67,B2,Detail!$I$2:$I$67,"Yes")</f>
        <v/>
      </c>
      <c r="F2">
        <f>D2-E2</f>
        <v/>
      </c>
      <c r="G2">
        <f>SUMIFS(Detail!$H$2:$H$67,Detail!$F$2:$F$67,B2,Detail!$I$2:$I$67,"No")</f>
        <v/>
      </c>
    </row>
    <row r="3">
      <c r="A3" t="inlineStr">
        <is>
          <t>State Clean Water Fund - Mill Creek Restoration</t>
        </is>
      </c>
      <c r="B3" t="inlineStr">
        <is>
          <t>SCWF-CON</t>
        </is>
      </c>
      <c r="C3" t="inlineStr">
        <is>
          <t>Earthwork contractor</t>
        </is>
      </c>
      <c r="D3" s="2" t="n">
        <v>52000</v>
      </c>
      <c r="E3">
        <f>SUMIFS(Detail!$H$2:$H$67,Detail!$F$2:$F$67,B3,Detail!$I$2:$I$67,"Yes")</f>
        <v/>
      </c>
      <c r="F3">
        <f>D3-E3</f>
        <v/>
      </c>
      <c r="G3">
        <f>SUMIFS(Detail!$H$2:$H$67,Detail!$F$2:$F$67,B3,Detail!$I$2:$I$67,"No")</f>
        <v/>
      </c>
    </row>
    <row r="4">
      <c r="A4" t="inlineStr">
        <is>
          <t>State Clean Water Fund - Mill Creek Restoration</t>
        </is>
      </c>
      <c r="B4" t="inlineStr">
        <is>
          <t>SCWF-MAT</t>
        </is>
      </c>
      <c r="C4" t="inlineStr">
        <is>
          <t>Restoration materials</t>
        </is>
      </c>
      <c r="D4" s="2" t="n">
        <v>18500</v>
      </c>
      <c r="E4">
        <f>SUMIFS(Detail!$H$2:$H$67,Detail!$F$2:$F$67,B4,Detail!$I$2:$I$67,"Yes")</f>
        <v/>
      </c>
      <c r="F4">
        <f>D4-E4</f>
        <v/>
      </c>
      <c r="G4">
        <f>SUMIFS(Detail!$H$2:$H$67,Detail!$F$2:$F$67,B4,Detail!$I$2:$I$67,"No")</f>
        <v/>
      </c>
    </row>
    <row r="5">
      <c r="A5" t="inlineStr">
        <is>
          <t>State Clean Water Fund - Mill Creek Restoration</t>
        </is>
      </c>
      <c r="B5" t="inlineStr">
        <is>
          <t>SCWF-MIL</t>
        </is>
      </c>
      <c r="C5" t="inlineStr">
        <is>
          <t>Field mileage</t>
        </is>
      </c>
      <c r="D5" s="2" t="n">
        <v>2400</v>
      </c>
      <c r="E5">
        <f>SUMIFS(Detail!$H$2:$H$67,Detail!$F$2:$F$67,B5,Detail!$I$2:$I$67,"Yes")</f>
        <v/>
      </c>
      <c r="F5">
        <f>D5-E5</f>
        <v/>
      </c>
      <c r="G5">
        <f>SUMIFS(Detail!$H$2:$H$67,Detail!$F$2:$F$67,B5,Detail!$I$2:$I$67,"No")</f>
        <v/>
      </c>
    </row>
    <row r="6">
      <c r="A6" t="inlineStr">
        <is>
          <t>Hartwell Family Foundation - Watershed Classrooms</t>
        </is>
      </c>
      <c r="B6" t="inlineStr">
        <is>
          <t>HFF-EDU</t>
        </is>
      </c>
      <c r="C6" t="inlineStr">
        <is>
          <t>Education staff</t>
        </is>
      </c>
      <c r="D6" s="2" t="n">
        <v>24000</v>
      </c>
      <c r="E6">
        <f>SUMIFS(Detail!$H$2:$H$67,Detail!$F$2:$F$67,B6,Detail!$I$2:$I$67,"Yes")</f>
        <v/>
      </c>
      <c r="F6">
        <f>D6-E6</f>
        <v/>
      </c>
      <c r="G6">
        <f>SUMIFS(Detail!$H$2:$H$67,Detail!$F$2:$F$67,B6,Detail!$I$2:$I$67,"No")</f>
        <v/>
      </c>
    </row>
    <row r="7">
      <c r="A7" t="inlineStr">
        <is>
          <t>Hartwell Family Foundation - Watershed Classrooms</t>
        </is>
      </c>
      <c r="B7" t="inlineStr">
        <is>
          <t>HFF-SUP</t>
        </is>
      </c>
      <c r="C7" t="inlineStr">
        <is>
          <t>Classroom kits</t>
        </is>
      </c>
      <c r="D7" s="2" t="n">
        <v>6200</v>
      </c>
      <c r="E7">
        <f>SUMIFS(Detail!$H$2:$H$67,Detail!$F$2:$F$67,B7,Detail!$I$2:$I$67,"Yes")</f>
        <v/>
      </c>
      <c r="F7">
        <f>D7-E7</f>
        <v/>
      </c>
      <c r="G7">
        <f>SUMIFS(Detail!$H$2:$H$67,Detail!$F$2:$F$67,B7,Detail!$I$2:$I$67,"No")</f>
        <v/>
      </c>
    </row>
    <row r="8">
      <c r="A8" t="inlineStr">
        <is>
          <t>Hartwell Family Foundation - Watershed Classrooms</t>
        </is>
      </c>
      <c r="B8" t="inlineStr">
        <is>
          <t>HFF-BUS</t>
        </is>
      </c>
      <c r="C8" t="inlineStr">
        <is>
          <t>Student buses</t>
        </is>
      </c>
      <c r="D8" s="2" t="n">
        <v>4800</v>
      </c>
      <c r="E8">
        <f>SUMIFS(Detail!$H$2:$H$67,Detail!$F$2:$F$67,B8,Detail!$I$2:$I$67,"Yes")</f>
        <v/>
      </c>
      <c r="F8">
        <f>D8-E8</f>
        <v/>
      </c>
      <c r="G8">
        <f>SUMIFS(Detail!$H$2:$H$67,Detail!$F$2:$F$67,B8,Detail!$I$2:$I$67,"No")</f>
        <v/>
      </c>
    </row>
    <row r="9">
      <c r="A9" t="inlineStr">
        <is>
          <t>Hartwell Family Foundation - Watershed Classrooms</t>
        </is>
      </c>
      <c r="B9" t="inlineStr">
        <is>
          <t>HFF-PRT</t>
        </is>
      </c>
      <c r="C9" t="inlineStr">
        <is>
          <t>Curriculum printing</t>
        </is>
      </c>
      <c r="D9" s="2" t="n">
        <v>2100</v>
      </c>
      <c r="E9">
        <f>SUMIFS(Detail!$H$2:$H$67,Detail!$F$2:$F$67,B9,Detail!$I$2:$I$67,"Yes")</f>
        <v/>
      </c>
      <c r="F9">
        <f>D9-E9</f>
        <v/>
      </c>
      <c r="G9">
        <f>SUMIFS(Detail!$H$2:$H$67,Detail!$F$2:$F$67,B9,Detail!$I$2:$I$67,"No")</f>
        <v/>
      </c>
    </row>
    <row r="10">
      <c r="A10" t="inlineStr">
        <is>
          <t>County Parks Community Grant - Volunteer Stream Monitoring</t>
        </is>
      </c>
      <c r="B10" t="inlineStr">
        <is>
          <t>CPCG-STI</t>
        </is>
      </c>
      <c r="C10" t="inlineStr">
        <is>
          <t>Coordinator stipend</t>
        </is>
      </c>
      <c r="D10" s="2" t="n">
        <v>9000</v>
      </c>
      <c r="E10">
        <f>SUMIFS(Detail!$H$2:$H$67,Detail!$F$2:$F$67,B10,Detail!$I$2:$I$67,"Yes")</f>
        <v/>
      </c>
      <c r="F10">
        <f>D10-E10</f>
        <v/>
      </c>
      <c r="G10">
        <f>SUMIFS(Detail!$H$2:$H$67,Detail!$F$2:$F$67,B10,Detail!$I$2:$I$67,"No")</f>
        <v/>
      </c>
    </row>
    <row r="11">
      <c r="A11" t="inlineStr">
        <is>
          <t>County Parks Community Grant - Volunteer Stream Monitoring</t>
        </is>
      </c>
      <c r="B11" t="inlineStr">
        <is>
          <t>CPCG-EQP</t>
        </is>
      </c>
      <c r="C11" t="inlineStr">
        <is>
          <t>Monitoring equipment</t>
        </is>
      </c>
      <c r="D11" s="2" t="n">
        <v>5400</v>
      </c>
      <c r="E11">
        <f>SUMIFS(Detail!$H$2:$H$67,Detail!$F$2:$F$67,B11,Detail!$I$2:$I$67,"Yes")</f>
        <v/>
      </c>
      <c r="F11">
        <f>D11-E11</f>
        <v/>
      </c>
      <c r="G11">
        <f>SUMIFS(Detail!$H$2:$H$67,Detail!$F$2:$F$67,B11,Detail!$I$2:$I$67,"No")</f>
        <v/>
      </c>
    </row>
    <row r="12">
      <c r="A12" t="inlineStr">
        <is>
          <t>County Parks Community Grant - Volunteer Stream Monitoring</t>
        </is>
      </c>
      <c r="B12" t="inlineStr">
        <is>
          <t>CPCG-VOL</t>
        </is>
      </c>
      <c r="C12" t="inlineStr">
        <is>
          <t>Volunteer recognition</t>
        </is>
      </c>
      <c r="D12" s="2" t="n">
        <v>1500</v>
      </c>
      <c r="E12">
        <f>SUMIFS(Detail!$H$2:$H$67,Detail!$F$2:$F$67,B12,Detail!$I$2:$I$67,"Yes")</f>
        <v/>
      </c>
      <c r="F12">
        <f>D12-E12</f>
        <v/>
      </c>
      <c r="G12">
        <f>SUMIFS(Detail!$H$2:$H$67,Detail!$F$2:$F$67,B12,Detail!$I$2:$I$67,"No")</f>
        <v/>
      </c>
    </row>
    <row r="13">
      <c r="A13" t="inlineStr">
        <is>
          <t>County Parks Community Grant - Volunteer Stream Monitoring</t>
        </is>
      </c>
      <c r="B13" t="inlineStr">
        <is>
          <t>CPCG-OUT</t>
        </is>
      </c>
      <c r="C13" t="inlineStr">
        <is>
          <t>Outreach printing</t>
        </is>
      </c>
      <c r="D13" s="2" t="n">
        <v>1200</v>
      </c>
      <c r="E13">
        <f>SUMIFS(Detail!$H$2:$H$67,Detail!$F$2:$F$67,B13,Detail!$I$2:$I$67,"Yes")</f>
        <v/>
      </c>
      <c r="F13">
        <f>D13-E13</f>
        <v/>
      </c>
      <c r="G13">
        <f>SUMIFS(Detail!$H$2:$H$67,Detail!$F$2:$F$67,B13,Detail!$I$2:$I$67,"No")</f>
        <v/>
      </c>
    </row>
    <row r="14">
      <c r="A14" t="inlineStr">
        <is>
          <t>Total all grants</t>
        </is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26" customWidth="1" min="3" max="3"/>
    <col width="44" customWidth="1" min="4" max="4"/>
    <col width="40" customWidth="1" min="10" max="10"/>
  </cols>
  <sheetData>
    <row r="1">
      <c r="A1" s="1" t="inlineStr">
        <is>
          <t>Entry</t>
        </is>
      </c>
      <c r="B1" s="1" t="inlineStr">
        <is>
          <t>Posted</t>
        </is>
      </c>
      <c r="C1" s="1" t="inlineStr">
        <is>
          <t>Vendor</t>
        </is>
      </c>
      <c r="D1" s="1" t="inlineStr">
        <is>
          <t>Description</t>
        </is>
      </c>
      <c r="E1" s="1" t="inlineStr">
        <is>
          <t>Expense amount</t>
        </is>
      </c>
      <c r="F1" s="1" t="inlineStr">
        <is>
          <t>Line code</t>
        </is>
      </c>
      <c r="G1" s="1" t="inlineStr">
        <is>
          <t>Share</t>
        </is>
      </c>
      <c r="H1" s="1" t="inlineStr">
        <is>
          <t>Charged amount</t>
        </is>
      </c>
      <c r="I1" s="1" t="inlineStr">
        <is>
          <t>Allowable</t>
        </is>
      </c>
      <c r="J1" s="1" t="inlineStr">
        <is>
          <t>Why not</t>
        </is>
      </c>
    </row>
    <row r="2">
      <c r="A2" t="inlineStr">
        <is>
          <t>JE-2276</t>
        </is>
      </c>
      <c r="B2" s="3" t="n">
        <v>46050</v>
      </c>
      <c r="C2" t="inlineStr">
        <is>
          <t>Payroll - Gusto</t>
        </is>
      </c>
      <c r="D2" t="inlineStr">
        <is>
          <t>Restoration crew lead wages</t>
        </is>
      </c>
      <c r="E2" s="2" t="n">
        <v>3288.39</v>
      </c>
      <c r="F2" t="inlineStr">
        <is>
          <t>SCWF-PER</t>
        </is>
      </c>
      <c r="G2" s="4" t="n">
        <v>1</v>
      </c>
      <c r="H2" s="2" t="n">
        <v>3288.39</v>
      </c>
      <c r="I2" t="inlineStr">
        <is>
          <t>Yes</t>
        </is>
      </c>
    </row>
    <row r="3">
      <c r="A3" t="inlineStr">
        <is>
          <t>JE-2284</t>
        </is>
      </c>
      <c r="B3" s="3" t="n">
        <v>46080</v>
      </c>
      <c r="C3" t="inlineStr">
        <is>
          <t>Payroll - Gusto</t>
        </is>
      </c>
      <c r="D3" t="inlineStr">
        <is>
          <t>Restoration crew lead wages</t>
        </is>
      </c>
      <c r="E3" s="2" t="n">
        <v>3142.45</v>
      </c>
      <c r="F3" t="inlineStr">
        <is>
          <t>SCWF-PER</t>
        </is>
      </c>
      <c r="G3" s="4" t="n">
        <v>1</v>
      </c>
      <c r="H3" s="2" t="n">
        <v>3142.45</v>
      </c>
      <c r="I3" t="inlineStr">
        <is>
          <t>Yes</t>
        </is>
      </c>
    </row>
    <row r="4">
      <c r="A4" t="inlineStr">
        <is>
          <t>JE-2282</t>
        </is>
      </c>
      <c r="B4" s="3" t="n">
        <v>46080</v>
      </c>
      <c r="C4" t="inlineStr">
        <is>
          <t>Payroll - Gusto</t>
        </is>
      </c>
      <c r="D4" t="inlineStr">
        <is>
          <t>Education specialist wages</t>
        </is>
      </c>
      <c r="E4" s="2" t="n">
        <v>1842.94</v>
      </c>
      <c r="F4" t="inlineStr">
        <is>
          <t>HFF-EDU</t>
        </is>
      </c>
      <c r="G4" s="4" t="n">
        <v>1</v>
      </c>
      <c r="H4" s="2" t="n">
        <v>1842.94</v>
      </c>
      <c r="I4" t="inlineStr">
        <is>
          <t>Yes</t>
        </is>
      </c>
    </row>
    <row r="5">
      <c r="A5" t="inlineStr">
        <is>
          <t>JE-2302</t>
        </is>
      </c>
      <c r="B5" s="3" t="n">
        <v>46109</v>
      </c>
      <c r="C5" t="inlineStr">
        <is>
          <t>Payroll - Gusto</t>
        </is>
      </c>
      <c r="D5" t="inlineStr">
        <is>
          <t>Restoration crew lead wages</t>
        </is>
      </c>
      <c r="E5" s="2" t="n">
        <v>3207.51</v>
      </c>
      <c r="F5" t="inlineStr">
        <is>
          <t>SCWF-PER</t>
        </is>
      </c>
      <c r="G5" s="4" t="n">
        <v>1</v>
      </c>
      <c r="H5" s="2" t="n">
        <v>3207.51</v>
      </c>
      <c r="I5" t="inlineStr">
        <is>
          <t>Yes</t>
        </is>
      </c>
    </row>
    <row r="6">
      <c r="A6" t="inlineStr">
        <is>
          <t>JE-2305</t>
        </is>
      </c>
      <c r="B6" s="3" t="n">
        <v>46109</v>
      </c>
      <c r="C6" t="inlineStr">
        <is>
          <t>Payroll - Gusto</t>
        </is>
      </c>
      <c r="D6" t="inlineStr">
        <is>
          <t>Program coordinator wages (split)</t>
        </is>
      </c>
      <c r="E6" s="2" t="n">
        <v>3461.09</v>
      </c>
      <c r="F6" t="inlineStr">
        <is>
          <t>SCWF-PER</t>
        </is>
      </c>
      <c r="G6" s="4" t="n">
        <v>0.6</v>
      </c>
      <c r="H6" s="2" t="n">
        <v>2076.65</v>
      </c>
      <c r="I6" t="inlineStr">
        <is>
          <t>Yes</t>
        </is>
      </c>
    </row>
    <row r="7">
      <c r="A7" t="inlineStr">
        <is>
          <t>JE-2305</t>
        </is>
      </c>
      <c r="B7" s="3" t="n">
        <v>46109</v>
      </c>
      <c r="C7" t="inlineStr">
        <is>
          <t>Payroll - Gusto</t>
        </is>
      </c>
      <c r="D7" t="inlineStr">
        <is>
          <t>Program coordinator wages (split)</t>
        </is>
      </c>
      <c r="E7" s="2" t="n">
        <v>3461.09</v>
      </c>
      <c r="F7" t="inlineStr">
        <is>
          <t>CPCG-STI</t>
        </is>
      </c>
      <c r="G7" s="4" t="n">
        <v>0.4</v>
      </c>
      <c r="H7" s="2" t="n">
        <v>1384.44</v>
      </c>
      <c r="I7" t="inlineStr">
        <is>
          <t>Yes</t>
        </is>
      </c>
    </row>
    <row r="8">
      <c r="A8" t="inlineStr">
        <is>
          <t>JE-2300</t>
        </is>
      </c>
      <c r="B8" s="3" t="n">
        <v>46109</v>
      </c>
      <c r="C8" t="inlineStr">
        <is>
          <t>Payroll - Gusto</t>
        </is>
      </c>
      <c r="D8" t="inlineStr">
        <is>
          <t>Education specialist wages</t>
        </is>
      </c>
      <c r="E8" s="2" t="n">
        <v>2108.19</v>
      </c>
      <c r="F8" t="inlineStr">
        <is>
          <t>HFF-EDU</t>
        </is>
      </c>
      <c r="G8" s="4" t="n">
        <v>1</v>
      </c>
      <c r="H8" s="2" t="n">
        <v>2108.19</v>
      </c>
      <c r="I8" t="inlineStr">
        <is>
          <t>Yes</t>
        </is>
      </c>
    </row>
    <row r="9">
      <c r="A9" t="inlineStr">
        <is>
          <t>JE-2331</t>
        </is>
      </c>
      <c r="B9" s="3" t="n">
        <v>46140</v>
      </c>
      <c r="C9" t="inlineStr">
        <is>
          <t>Payroll - Gusto</t>
        </is>
      </c>
      <c r="D9" t="inlineStr">
        <is>
          <t>Restoration crew lead wages</t>
        </is>
      </c>
      <c r="E9" s="2" t="n">
        <v>3160.26</v>
      </c>
      <c r="F9" t="inlineStr">
        <is>
          <t>SCWF-PER</t>
        </is>
      </c>
      <c r="G9" s="4" t="n">
        <v>1</v>
      </c>
      <c r="H9" s="2" t="n">
        <v>3160.26</v>
      </c>
      <c r="I9" t="inlineStr">
        <is>
          <t>Yes</t>
        </is>
      </c>
    </row>
    <row r="10">
      <c r="A10" t="inlineStr">
        <is>
          <t>JE-2335</t>
        </is>
      </c>
      <c r="B10" s="3" t="n">
        <v>46140</v>
      </c>
      <c r="C10" t="inlineStr">
        <is>
          <t>Payroll - Gusto</t>
        </is>
      </c>
      <c r="D10" t="inlineStr">
        <is>
          <t>Program coordinator wages (split)</t>
        </is>
      </c>
      <c r="E10" s="2" t="n">
        <v>3252.12</v>
      </c>
      <c r="F10" t="inlineStr">
        <is>
          <t>SCWF-PER</t>
        </is>
      </c>
      <c r="G10" s="4" t="n">
        <v>0.6</v>
      </c>
      <c r="H10" s="2" t="n">
        <v>1951.27</v>
      </c>
      <c r="I10" t="inlineStr">
        <is>
          <t>Yes</t>
        </is>
      </c>
    </row>
    <row r="11">
      <c r="A11" t="inlineStr">
        <is>
          <t>JE-2335</t>
        </is>
      </c>
      <c r="B11" s="3" t="n">
        <v>46140</v>
      </c>
      <c r="C11" t="inlineStr">
        <is>
          <t>Payroll - Gusto</t>
        </is>
      </c>
      <c r="D11" t="inlineStr">
        <is>
          <t>Program coordinator wages (split)</t>
        </is>
      </c>
      <c r="E11" s="2" t="n">
        <v>3252.12</v>
      </c>
      <c r="F11" t="inlineStr">
        <is>
          <t>CPCG-STI</t>
        </is>
      </c>
      <c r="G11" s="4" t="n">
        <v>0.4</v>
      </c>
      <c r="H11" s="2" t="n">
        <v>1300.85</v>
      </c>
      <c r="I11" t="inlineStr">
        <is>
          <t>Yes</t>
        </is>
      </c>
    </row>
    <row r="12">
      <c r="A12" t="inlineStr">
        <is>
          <t>JE-2328</t>
        </is>
      </c>
      <c r="B12" s="3" t="n">
        <v>46140</v>
      </c>
      <c r="C12" t="inlineStr">
        <is>
          <t>Payroll - Gusto</t>
        </is>
      </c>
      <c r="D12" t="inlineStr">
        <is>
          <t>Education specialist wages</t>
        </is>
      </c>
      <c r="E12" s="2" t="n">
        <v>1809.92</v>
      </c>
      <c r="F12" t="inlineStr">
        <is>
          <t>HFF-EDU</t>
        </is>
      </c>
      <c r="G12" s="4" t="n">
        <v>1</v>
      </c>
      <c r="H12" s="2" t="n">
        <v>1809.92</v>
      </c>
      <c r="I12" t="inlineStr">
        <is>
          <t>Yes</t>
        </is>
      </c>
    </row>
    <row r="13">
      <c r="A13" t="inlineStr">
        <is>
          <t>JE-2353</t>
        </is>
      </c>
      <c r="B13" s="3" t="n">
        <v>46170</v>
      </c>
      <c r="C13" t="inlineStr">
        <is>
          <t>Payroll - Gusto</t>
        </is>
      </c>
      <c r="D13" t="inlineStr">
        <is>
          <t>Restoration crew lead wages</t>
        </is>
      </c>
      <c r="E13" s="2" t="n">
        <v>3004.46</v>
      </c>
      <c r="F13" t="inlineStr">
        <is>
          <t>SCWF-PER</t>
        </is>
      </c>
      <c r="G13" s="4" t="n">
        <v>1</v>
      </c>
      <c r="H13" s="2" t="n">
        <v>3004.46</v>
      </c>
      <c r="I13" t="inlineStr">
        <is>
          <t>Yes</t>
        </is>
      </c>
    </row>
    <row r="14">
      <c r="A14" t="inlineStr">
        <is>
          <t>JE-2355</t>
        </is>
      </c>
      <c r="B14" s="3" t="n">
        <v>46170</v>
      </c>
      <c r="C14" t="inlineStr">
        <is>
          <t>Payroll - Gusto</t>
        </is>
      </c>
      <c r="D14" t="inlineStr">
        <is>
          <t>Program coordinator wages (split)</t>
        </is>
      </c>
      <c r="E14" s="2" t="n">
        <v>3297.5</v>
      </c>
      <c r="F14" t="inlineStr">
        <is>
          <t>SCWF-PER</t>
        </is>
      </c>
      <c r="G14" s="4" t="n">
        <v>0.6</v>
      </c>
      <c r="H14" s="2" t="n">
        <v>1978.5</v>
      </c>
      <c r="I14" t="inlineStr">
        <is>
          <t>Yes</t>
        </is>
      </c>
    </row>
    <row r="15">
      <c r="A15" t="inlineStr">
        <is>
          <t>JE-2355</t>
        </is>
      </c>
      <c r="B15" s="3" t="n">
        <v>46170</v>
      </c>
      <c r="C15" t="inlineStr">
        <is>
          <t>Payroll - Gusto</t>
        </is>
      </c>
      <c r="D15" t="inlineStr">
        <is>
          <t>Program coordinator wages (split)</t>
        </is>
      </c>
      <c r="E15" s="2" t="n">
        <v>3297.5</v>
      </c>
      <c r="F15" t="inlineStr">
        <is>
          <t>CPCG-STI</t>
        </is>
      </c>
      <c r="G15" s="4" t="n">
        <v>0.4</v>
      </c>
      <c r="H15" s="2" t="n">
        <v>1319</v>
      </c>
      <c r="I15" t="inlineStr">
        <is>
          <t>Yes</t>
        </is>
      </c>
    </row>
    <row r="16">
      <c r="A16" t="inlineStr">
        <is>
          <t>JE-2351</t>
        </is>
      </c>
      <c r="B16" s="3" t="n">
        <v>46170</v>
      </c>
      <c r="C16" t="inlineStr">
        <is>
          <t>Payroll - Gusto</t>
        </is>
      </c>
      <c r="D16" t="inlineStr">
        <is>
          <t>Education specialist wages</t>
        </is>
      </c>
      <c r="E16" s="2" t="n">
        <v>2109.82</v>
      </c>
      <c r="F16" t="inlineStr">
        <is>
          <t>HFF-EDU</t>
        </is>
      </c>
      <c r="G16" s="4" t="n">
        <v>1</v>
      </c>
      <c r="H16" s="2" t="n">
        <v>2109.82</v>
      </c>
      <c r="I16" t="inlineStr">
        <is>
          <t>Yes</t>
        </is>
      </c>
    </row>
    <row r="17">
      <c r="A17" t="inlineStr">
        <is>
          <t>JE-2380</t>
        </is>
      </c>
      <c r="B17" s="3" t="n">
        <v>46201</v>
      </c>
      <c r="C17" t="inlineStr">
        <is>
          <t>Payroll - Gusto</t>
        </is>
      </c>
      <c r="D17" t="inlineStr">
        <is>
          <t>Restoration crew lead wages</t>
        </is>
      </c>
      <c r="E17" s="2" t="n">
        <v>3179.79</v>
      </c>
      <c r="F17" t="inlineStr">
        <is>
          <t>SCWF-PER</t>
        </is>
      </c>
      <c r="G17" s="4" t="n">
        <v>1</v>
      </c>
      <c r="H17" s="2" t="n">
        <v>3179.79</v>
      </c>
      <c r="I17" t="inlineStr">
        <is>
          <t>Yes</t>
        </is>
      </c>
    </row>
    <row r="18">
      <c r="A18" t="inlineStr">
        <is>
          <t>JE-2383</t>
        </is>
      </c>
      <c r="B18" s="3" t="n">
        <v>46201</v>
      </c>
      <c r="C18" t="inlineStr">
        <is>
          <t>Payroll - Gusto</t>
        </is>
      </c>
      <c r="D18" t="inlineStr">
        <is>
          <t>Program coordinator wages (split)</t>
        </is>
      </c>
      <c r="E18" s="2" t="n">
        <v>3478.39</v>
      </c>
      <c r="F18" t="inlineStr">
        <is>
          <t>SCWF-PER</t>
        </is>
      </c>
      <c r="G18" s="4" t="n">
        <v>0.6</v>
      </c>
      <c r="H18" s="2" t="n">
        <v>2087.03</v>
      </c>
      <c r="I18" t="inlineStr">
        <is>
          <t>Yes</t>
        </is>
      </c>
    </row>
    <row r="19">
      <c r="A19" t="inlineStr">
        <is>
          <t>JE-2383</t>
        </is>
      </c>
      <c r="B19" s="3" t="n">
        <v>46201</v>
      </c>
      <c r="C19" t="inlineStr">
        <is>
          <t>Payroll - Gusto</t>
        </is>
      </c>
      <c r="D19" t="inlineStr">
        <is>
          <t>Program coordinator wages (split)</t>
        </is>
      </c>
      <c r="E19" s="2" t="n">
        <v>3478.39</v>
      </c>
      <c r="F19" t="inlineStr">
        <is>
          <t>CPCG-STI</t>
        </is>
      </c>
      <c r="G19" s="4" t="n">
        <v>0.4</v>
      </c>
      <c r="H19" s="2" t="n">
        <v>1391.36</v>
      </c>
      <c r="I19" t="inlineStr">
        <is>
          <t>Yes</t>
        </is>
      </c>
    </row>
    <row r="20">
      <c r="A20" t="inlineStr">
        <is>
          <t>JE-2379</t>
        </is>
      </c>
      <c r="B20" s="3" t="n">
        <v>46201</v>
      </c>
      <c r="C20" t="inlineStr">
        <is>
          <t>Payroll - Gusto</t>
        </is>
      </c>
      <c r="D20" t="inlineStr">
        <is>
          <t>Education specialist wages</t>
        </is>
      </c>
      <c r="E20" s="2" t="n">
        <v>2039.54</v>
      </c>
      <c r="F20" t="inlineStr">
        <is>
          <t>HFF-EDU</t>
        </is>
      </c>
      <c r="G20" s="4" t="n">
        <v>1</v>
      </c>
      <c r="H20" s="2" t="n">
        <v>2039.54</v>
      </c>
      <c r="I20" t="inlineStr">
        <is>
          <t>Yes</t>
        </is>
      </c>
    </row>
    <row r="21">
      <c r="A21" t="inlineStr">
        <is>
          <t>JE-2395</t>
        </is>
      </c>
      <c r="B21" s="3" t="n">
        <v>46231</v>
      </c>
      <c r="C21" t="inlineStr">
        <is>
          <t>Payroll - Gusto</t>
        </is>
      </c>
      <c r="D21" t="inlineStr">
        <is>
          <t>Restoration crew lead wages</t>
        </is>
      </c>
      <c r="E21" s="2" t="n">
        <v>2923.51</v>
      </c>
      <c r="F21" t="inlineStr">
        <is>
          <t>SCWF-PER</t>
        </is>
      </c>
      <c r="G21" s="4" t="n">
        <v>1</v>
      </c>
      <c r="H21" s="2" t="n">
        <v>2923.51</v>
      </c>
      <c r="I21" t="inlineStr">
        <is>
          <t>Yes</t>
        </is>
      </c>
    </row>
    <row r="22">
      <c r="A22" t="inlineStr">
        <is>
          <t>JE-2396</t>
        </is>
      </c>
      <c r="B22" s="3" t="n">
        <v>46231</v>
      </c>
      <c r="C22" t="inlineStr">
        <is>
          <t>Payroll - Gusto</t>
        </is>
      </c>
      <c r="D22" t="inlineStr">
        <is>
          <t>Program coordinator wages (split)</t>
        </is>
      </c>
      <c r="E22" s="2" t="n">
        <v>3424.45</v>
      </c>
      <c r="F22" t="inlineStr">
        <is>
          <t>SCWF-PER</t>
        </is>
      </c>
      <c r="G22" s="4" t="n">
        <v>0.6</v>
      </c>
      <c r="H22" s="2" t="n">
        <v>2054.67</v>
      </c>
      <c r="I22" t="inlineStr">
        <is>
          <t>Yes</t>
        </is>
      </c>
    </row>
    <row r="23">
      <c r="A23" t="inlineStr">
        <is>
          <t>JE-2396</t>
        </is>
      </c>
      <c r="B23" s="3" t="n">
        <v>46231</v>
      </c>
      <c r="C23" t="inlineStr">
        <is>
          <t>Payroll - Gusto</t>
        </is>
      </c>
      <c r="D23" t="inlineStr">
        <is>
          <t>Program coordinator wages (split)</t>
        </is>
      </c>
      <c r="E23" s="2" t="n">
        <v>3424.45</v>
      </c>
      <c r="F23" t="inlineStr">
        <is>
          <t>CPCG-STI</t>
        </is>
      </c>
      <c r="G23" s="4" t="n">
        <v>0.4</v>
      </c>
      <c r="H23" s="2" t="n">
        <v>1369.78</v>
      </c>
      <c r="I23" t="inlineStr">
        <is>
          <t>Yes</t>
        </is>
      </c>
    </row>
    <row r="24">
      <c r="A24" t="inlineStr">
        <is>
          <t>JE-2394</t>
        </is>
      </c>
      <c r="B24" s="3" t="n">
        <v>46231</v>
      </c>
      <c r="C24" t="inlineStr">
        <is>
          <t>Payroll - Gusto</t>
        </is>
      </c>
      <c r="D24" t="inlineStr">
        <is>
          <t>Education specialist wages</t>
        </is>
      </c>
      <c r="E24" s="2" t="n">
        <v>2085.84</v>
      </c>
      <c r="F24" t="inlineStr">
        <is>
          <t>HFF-EDU</t>
        </is>
      </c>
      <c r="G24" s="4" t="n">
        <v>1</v>
      </c>
      <c r="H24" s="2" t="n">
        <v>2085.84</v>
      </c>
      <c r="I24" t="inlineStr">
        <is>
          <t>Yes</t>
        </is>
      </c>
    </row>
    <row r="25">
      <c r="A25" t="inlineStr">
        <is>
          <t>JE-2409</t>
        </is>
      </c>
      <c r="B25" s="3" t="n">
        <v>46262</v>
      </c>
      <c r="C25" t="inlineStr">
        <is>
          <t>Payroll - Gusto</t>
        </is>
      </c>
      <c r="D25" t="inlineStr">
        <is>
          <t>Restoration crew lead wages</t>
        </is>
      </c>
      <c r="E25" s="2" t="n">
        <v>3176</v>
      </c>
      <c r="F25" t="inlineStr">
        <is>
          <t>SCWF-PER</t>
        </is>
      </c>
      <c r="G25" s="4" t="n">
        <v>1</v>
      </c>
      <c r="H25" s="2" t="n">
        <v>3176</v>
      </c>
      <c r="I25" t="inlineStr">
        <is>
          <t>Yes</t>
        </is>
      </c>
    </row>
    <row r="26">
      <c r="A26" t="inlineStr">
        <is>
          <t>JE-2413</t>
        </is>
      </c>
      <c r="B26" s="3" t="n">
        <v>46262</v>
      </c>
      <c r="C26" t="inlineStr">
        <is>
          <t>Payroll - Gusto</t>
        </is>
      </c>
      <c r="D26" t="inlineStr">
        <is>
          <t>Program coordinator wages (split)</t>
        </is>
      </c>
      <c r="E26" s="2" t="n">
        <v>3476.38</v>
      </c>
      <c r="F26" t="inlineStr">
        <is>
          <t>SCWF-PER</t>
        </is>
      </c>
      <c r="G26" s="4" t="n">
        <v>0.6</v>
      </c>
      <c r="H26" s="2" t="n">
        <v>2085.83</v>
      </c>
      <c r="I26" t="inlineStr">
        <is>
          <t>Yes</t>
        </is>
      </c>
    </row>
    <row r="27">
      <c r="A27" t="inlineStr">
        <is>
          <t>JE-2413</t>
        </is>
      </c>
      <c r="B27" s="3" t="n">
        <v>46262</v>
      </c>
      <c r="C27" t="inlineStr">
        <is>
          <t>Payroll - Gusto</t>
        </is>
      </c>
      <c r="D27" t="inlineStr">
        <is>
          <t>Program coordinator wages (split)</t>
        </is>
      </c>
      <c r="E27" s="2" t="n">
        <v>3476.38</v>
      </c>
      <c r="F27" t="inlineStr">
        <is>
          <t>CPCG-STI</t>
        </is>
      </c>
      <c r="G27" s="4" t="n">
        <v>0.4</v>
      </c>
      <c r="H27" s="2" t="n">
        <v>1390.55</v>
      </c>
      <c r="I27" t="inlineStr">
        <is>
          <t>Yes</t>
        </is>
      </c>
    </row>
    <row r="28">
      <c r="A28" t="inlineStr">
        <is>
          <t>JE-2408</t>
        </is>
      </c>
      <c r="B28" s="3" t="n">
        <v>46262</v>
      </c>
      <c r="C28" t="inlineStr">
        <is>
          <t>Payroll - Gusto</t>
        </is>
      </c>
      <c r="D28" t="inlineStr">
        <is>
          <t>Education specialist wages</t>
        </is>
      </c>
      <c r="E28" s="2" t="n">
        <v>1952.29</v>
      </c>
      <c r="F28" t="inlineStr">
        <is>
          <t>HFF-EDU</t>
        </is>
      </c>
      <c r="G28" s="4" t="n">
        <v>1</v>
      </c>
      <c r="H28" s="2" t="n">
        <v>1952.29</v>
      </c>
      <c r="I28" t="inlineStr">
        <is>
          <t>Yes</t>
        </is>
      </c>
    </row>
    <row r="29">
      <c r="A29" t="inlineStr">
        <is>
          <t>JE-2312</t>
        </is>
      </c>
      <c r="B29" s="3" t="n">
        <v>46120</v>
      </c>
      <c r="C29" t="inlineStr">
        <is>
          <t>Kessler Excavating</t>
        </is>
      </c>
      <c r="D29" t="inlineStr">
        <is>
          <t>Streambank grading - Mill Creek reach B</t>
        </is>
      </c>
      <c r="E29" s="2" t="n">
        <v>9110.219999999999</v>
      </c>
      <c r="F29" t="inlineStr">
        <is>
          <t>SCWF-CON</t>
        </is>
      </c>
      <c r="G29" s="4" t="n">
        <v>1</v>
      </c>
      <c r="H29" s="2" t="n">
        <v>9110.219999999999</v>
      </c>
      <c r="I29" t="inlineStr">
        <is>
          <t>Yes</t>
        </is>
      </c>
    </row>
    <row r="30">
      <c r="A30" t="inlineStr">
        <is>
          <t>JE-2406</t>
        </is>
      </c>
      <c r="B30" s="3" t="n">
        <v>46251</v>
      </c>
      <c r="C30" t="inlineStr">
        <is>
          <t>Kessler Excavating</t>
        </is>
      </c>
      <c r="D30" t="inlineStr">
        <is>
          <t>Streambank grading - Mill Creek reach C</t>
        </is>
      </c>
      <c r="E30" s="2" t="n">
        <v>13367.52</v>
      </c>
      <c r="F30" t="inlineStr">
        <is>
          <t>SCWF-CON</t>
        </is>
      </c>
      <c r="G30" s="4" t="n">
        <v>1</v>
      </c>
      <c r="H30" s="2" t="n">
        <v>13367.52</v>
      </c>
      <c r="I30" t="inlineStr">
        <is>
          <t>Yes</t>
        </is>
      </c>
    </row>
    <row r="31">
      <c r="A31" t="inlineStr">
        <is>
          <t>JE-2346</t>
        </is>
      </c>
      <c r="B31" s="3" t="n">
        <v>46167</v>
      </c>
      <c r="C31" t="inlineStr">
        <is>
          <t>Kessler Excavating</t>
        </is>
      </c>
      <c r="D31" t="inlineStr">
        <is>
          <t>Streambank grading - Mill Creek reach C</t>
        </is>
      </c>
      <c r="E31" s="2" t="n">
        <v>13413.92</v>
      </c>
      <c r="F31" t="inlineStr">
        <is>
          <t>SCWF-CON</t>
        </is>
      </c>
      <c r="G31" s="4" t="n">
        <v>1</v>
      </c>
      <c r="H31" s="2" t="n">
        <v>13413.92</v>
      </c>
      <c r="I31" t="inlineStr">
        <is>
          <t>Yes</t>
        </is>
      </c>
    </row>
    <row r="32">
      <c r="A32" t="inlineStr">
        <is>
          <t>JE-2321</t>
        </is>
      </c>
      <c r="B32" s="3" t="n">
        <v>46126</v>
      </c>
      <c r="C32" t="inlineStr">
        <is>
          <t>Prairie Moon Nursery</t>
        </is>
      </c>
      <c r="D32" t="inlineStr">
        <is>
          <t>Live stakes and plugs</t>
        </is>
      </c>
      <c r="E32" s="2" t="n">
        <v>1226.19</v>
      </c>
      <c r="F32" t="inlineStr">
        <is>
          <t>SCWF-MAT</t>
        </is>
      </c>
      <c r="G32" s="4" t="n">
        <v>1</v>
      </c>
      <c r="H32" s="2" t="n">
        <v>1226.19</v>
      </c>
      <c r="I32" t="inlineStr">
        <is>
          <t>Yes</t>
        </is>
      </c>
    </row>
    <row r="33">
      <c r="A33" t="inlineStr">
        <is>
          <t>JE-2366</t>
        </is>
      </c>
      <c r="B33" s="3" t="n">
        <v>46177</v>
      </c>
      <c r="C33" t="inlineStr">
        <is>
          <t>Erosion Supply Co</t>
        </is>
      </c>
      <c r="D33" t="inlineStr">
        <is>
          <t>Coir logs and matting</t>
        </is>
      </c>
      <c r="E33" s="2" t="n">
        <v>2574.46</v>
      </c>
      <c r="F33" t="inlineStr">
        <is>
          <t>SCWF-MAT</t>
        </is>
      </c>
      <c r="G33" s="4" t="n">
        <v>1</v>
      </c>
      <c r="H33" s="2" t="n">
        <v>2574.46</v>
      </c>
      <c r="I33" t="inlineStr">
        <is>
          <t>Yes</t>
        </is>
      </c>
    </row>
    <row r="34">
      <c r="A34" t="inlineStr">
        <is>
          <t>JE-2279</t>
        </is>
      </c>
      <c r="B34" s="3" t="n">
        <v>46076</v>
      </c>
      <c r="C34" t="inlineStr">
        <is>
          <t>Quarry Road Nursery</t>
        </is>
      </c>
      <c r="D34" t="inlineStr">
        <is>
          <t>Native shrubs</t>
        </is>
      </c>
      <c r="E34" s="2" t="n">
        <v>1801.98</v>
      </c>
      <c r="F34" t="inlineStr">
        <is>
          <t>SCWF-MAT</t>
        </is>
      </c>
      <c r="G34" s="4" t="n">
        <v>1</v>
      </c>
      <c r="H34" s="2" t="n">
        <v>1801.98</v>
      </c>
      <c r="I34" t="inlineStr">
        <is>
          <t>Yes</t>
        </is>
      </c>
    </row>
    <row r="35">
      <c r="A35" t="inlineStr">
        <is>
          <t>JE-2293</t>
        </is>
      </c>
      <c r="B35" s="3" t="n">
        <v>46092</v>
      </c>
      <c r="C35" t="inlineStr">
        <is>
          <t>Erosion Supply Co</t>
        </is>
      </c>
      <c r="D35" t="inlineStr">
        <is>
          <t>Rock for toe protection</t>
        </is>
      </c>
      <c r="E35" s="2" t="n">
        <v>952.75</v>
      </c>
      <c r="F35" t="inlineStr">
        <is>
          <t>SCWF-MAT</t>
        </is>
      </c>
      <c r="G35" s="4" t="n">
        <v>1</v>
      </c>
      <c r="H35" s="2" t="n">
        <v>952.75</v>
      </c>
      <c r="I35" t="inlineStr">
        <is>
          <t>Yes</t>
        </is>
      </c>
    </row>
    <row r="36">
      <c r="A36" t="inlineStr">
        <is>
          <t>JE-2272</t>
        </is>
      </c>
      <c r="B36" s="3" t="n">
        <v>46034</v>
      </c>
      <c r="C36" t="inlineStr">
        <is>
          <t>Prairie Moon Nursery</t>
        </is>
      </c>
      <c r="D36" t="inlineStr">
        <is>
          <t>Bare-root order (December invoice)</t>
        </is>
      </c>
      <c r="E36" s="2" t="n">
        <v>1255.86</v>
      </c>
      <c r="F36" t="inlineStr">
        <is>
          <t>SCWF-MAT</t>
        </is>
      </c>
      <c r="G36" s="4" t="n">
        <v>1</v>
      </c>
      <c r="H36" s="2" t="n">
        <v>1255.86</v>
      </c>
      <c r="I36" t="inlineStr">
        <is>
          <t>No</t>
        </is>
      </c>
      <c r="J36" t="inlineStr">
        <is>
          <t>incurred before the award period</t>
        </is>
      </c>
    </row>
    <row r="37">
      <c r="A37" t="inlineStr">
        <is>
          <t>JE-2318</t>
        </is>
      </c>
      <c r="B37" s="3" t="n">
        <v>46125</v>
      </c>
      <c r="C37" t="inlineStr">
        <is>
          <t>Mill Street Pizza</t>
        </is>
      </c>
      <c r="D37" t="inlineStr">
        <is>
          <t>Pizza and drinks - restoration volunteer planting day</t>
        </is>
      </c>
      <c r="E37" s="2" t="n">
        <v>221.89</v>
      </c>
      <c r="F37" t="inlineStr">
        <is>
          <t>SCWF-MAT</t>
        </is>
      </c>
      <c r="G37" s="4" t="n">
        <v>1</v>
      </c>
      <c r="H37" s="2" t="n">
        <v>221.89</v>
      </c>
      <c r="I37" t="inlineStr">
        <is>
          <t>No</t>
        </is>
      </c>
      <c r="J37" t="inlineStr">
        <is>
          <t>food is not allowable on the state fund</t>
        </is>
      </c>
    </row>
    <row r="38">
      <c r="A38" t="inlineStr">
        <is>
          <t>JE-2291</t>
        </is>
      </c>
      <c r="B38" s="3" t="n">
        <v>46088</v>
      </c>
      <c r="C38" t="inlineStr">
        <is>
          <t>Staff mileage reimbursement</t>
        </is>
      </c>
      <c r="D38" t="inlineStr">
        <is>
          <t>Field mileage - site visits</t>
        </is>
      </c>
      <c r="E38" s="2" t="n">
        <v>254.32</v>
      </c>
      <c r="F38" t="inlineStr">
        <is>
          <t>SCWF-MIL</t>
        </is>
      </c>
      <c r="G38" s="4" t="n">
        <v>1</v>
      </c>
      <c r="H38" s="2" t="n">
        <v>254.32</v>
      </c>
      <c r="I38" t="inlineStr">
        <is>
          <t>Yes</t>
        </is>
      </c>
    </row>
    <row r="39">
      <c r="A39" t="inlineStr">
        <is>
          <t>JE-2309</t>
        </is>
      </c>
      <c r="B39" s="3" t="n">
        <v>46119</v>
      </c>
      <c r="C39" t="inlineStr">
        <is>
          <t>Staff mileage reimbursement</t>
        </is>
      </c>
      <c r="D39" t="inlineStr">
        <is>
          <t>Field mileage - site visits</t>
        </is>
      </c>
      <c r="E39" s="2" t="n">
        <v>148.65</v>
      </c>
      <c r="F39" t="inlineStr">
        <is>
          <t>SCWF-MIL</t>
        </is>
      </c>
      <c r="G39" s="4" t="n">
        <v>1</v>
      </c>
      <c r="H39" s="2" t="n">
        <v>148.65</v>
      </c>
      <c r="I39" t="inlineStr">
        <is>
          <t>Yes</t>
        </is>
      </c>
    </row>
    <row r="40">
      <c r="A40" t="inlineStr">
        <is>
          <t>JE-2338</t>
        </is>
      </c>
      <c r="B40" s="3" t="n">
        <v>46147</v>
      </c>
      <c r="C40" t="inlineStr">
        <is>
          <t>Staff mileage reimbursement</t>
        </is>
      </c>
      <c r="D40" t="inlineStr">
        <is>
          <t>Field mileage - site visits</t>
        </is>
      </c>
      <c r="E40" s="2" t="n">
        <v>111.18</v>
      </c>
      <c r="F40" t="inlineStr">
        <is>
          <t>SCWF-MIL</t>
        </is>
      </c>
      <c r="G40" s="4" t="n">
        <v>1</v>
      </c>
      <c r="H40" s="2" t="n">
        <v>111.18</v>
      </c>
      <c r="I40" t="inlineStr">
        <is>
          <t>Yes</t>
        </is>
      </c>
    </row>
    <row r="41">
      <c r="A41" t="inlineStr">
        <is>
          <t>JE-2364</t>
        </is>
      </c>
      <c r="B41" s="3" t="n">
        <v>46176</v>
      </c>
      <c r="C41" t="inlineStr">
        <is>
          <t>Staff mileage reimbursement</t>
        </is>
      </c>
      <c r="D41" t="inlineStr">
        <is>
          <t>Field mileage - site visits</t>
        </is>
      </c>
      <c r="E41" s="2" t="n">
        <v>208.26</v>
      </c>
      <c r="F41" t="inlineStr">
        <is>
          <t>SCWF-MIL</t>
        </is>
      </c>
      <c r="G41" s="4" t="n">
        <v>1</v>
      </c>
      <c r="H41" s="2" t="n">
        <v>208.26</v>
      </c>
      <c r="I41" t="inlineStr">
        <is>
          <t>Yes</t>
        </is>
      </c>
    </row>
    <row r="42">
      <c r="A42" t="inlineStr">
        <is>
          <t>JE-2386</t>
        </is>
      </c>
      <c r="B42" s="3" t="n">
        <v>46207</v>
      </c>
      <c r="C42" t="inlineStr">
        <is>
          <t>Staff mileage reimbursement</t>
        </is>
      </c>
      <c r="D42" t="inlineStr">
        <is>
          <t>Field mileage - site visits</t>
        </is>
      </c>
      <c r="E42" s="2" t="n">
        <v>176.83</v>
      </c>
      <c r="F42" t="inlineStr">
        <is>
          <t>SCWF-MIL</t>
        </is>
      </c>
      <c r="G42" s="4" t="n">
        <v>1</v>
      </c>
      <c r="H42" s="2" t="n">
        <v>176.83</v>
      </c>
      <c r="I42" t="inlineStr">
        <is>
          <t>Yes</t>
        </is>
      </c>
    </row>
    <row r="43">
      <c r="A43" t="inlineStr">
        <is>
          <t>JE-2401</t>
        </is>
      </c>
      <c r="B43" s="3" t="n">
        <v>46241</v>
      </c>
      <c r="C43" t="inlineStr">
        <is>
          <t>Staff mileage reimbursement</t>
        </is>
      </c>
      <c r="D43" t="inlineStr">
        <is>
          <t>Field mileage - site visits</t>
        </is>
      </c>
      <c r="E43" s="2" t="n">
        <v>153.15</v>
      </c>
      <c r="F43" t="inlineStr">
        <is>
          <t>SCWF-MIL</t>
        </is>
      </c>
      <c r="G43" s="4" t="n">
        <v>1</v>
      </c>
      <c r="H43" s="2" t="n">
        <v>153.15</v>
      </c>
      <c r="I43" t="inlineStr">
        <is>
          <t>Yes</t>
        </is>
      </c>
    </row>
    <row r="44">
      <c r="A44" t="inlineStr">
        <is>
          <t>JE-2324</t>
        </is>
      </c>
      <c r="B44" s="3" t="n">
        <v>46134</v>
      </c>
      <c r="C44" t="inlineStr">
        <is>
          <t>Staff mileage reimbursement</t>
        </is>
      </c>
      <c r="D44" t="inlineStr">
        <is>
          <t>Mileage - school visits</t>
        </is>
      </c>
      <c r="E44" s="2" t="n">
        <v>265.67</v>
      </c>
      <c r="F44" t="inlineStr">
        <is>
          <t>HFF-EDU</t>
        </is>
      </c>
      <c r="G44" s="4" t="n">
        <v>1</v>
      </c>
      <c r="H44" s="2" t="n">
        <v>265.67</v>
      </c>
      <c r="I44" t="inlineStr">
        <is>
          <t>No</t>
        </is>
      </c>
      <c r="J44" t="inlineStr">
        <is>
          <t>the foundation does not pay staff mileage</t>
        </is>
      </c>
    </row>
    <row r="45">
      <c r="A45" t="inlineStr">
        <is>
          <t>JE-2388</t>
        </is>
      </c>
      <c r="B45" s="3" t="n">
        <v>46214</v>
      </c>
      <c r="C45" t="inlineStr">
        <is>
          <t>Staff mileage reimbursement</t>
        </is>
      </c>
      <c r="D45" t="inlineStr">
        <is>
          <t>Mileage - teacher workshop</t>
        </is>
      </c>
      <c r="E45" s="2" t="n">
        <v>120.94</v>
      </c>
      <c r="F45" t="inlineStr">
        <is>
          <t>HFF-EDU</t>
        </is>
      </c>
      <c r="G45" s="4" t="n">
        <v>1</v>
      </c>
      <c r="H45" s="2" t="n">
        <v>120.94</v>
      </c>
      <c r="I45" t="inlineStr">
        <is>
          <t>No</t>
        </is>
      </c>
      <c r="J45" t="inlineStr">
        <is>
          <t>the foundation does not pay staff mileage</t>
        </is>
      </c>
    </row>
    <row r="46">
      <c r="A46" t="inlineStr">
        <is>
          <t>JE-2377</t>
        </is>
      </c>
      <c r="B46" s="3" t="n">
        <v>46196</v>
      </c>
      <c r="C46" t="inlineStr">
        <is>
          <t>Carolina Biological</t>
        </is>
      </c>
      <c r="D46" t="inlineStr">
        <is>
          <t>Macroinvertebrate classroom kits</t>
        </is>
      </c>
      <c r="E46" s="2" t="n">
        <v>1106.19</v>
      </c>
      <c r="F46" t="inlineStr">
        <is>
          <t>HFF-SUP</t>
        </is>
      </c>
      <c r="G46" s="4" t="n">
        <v>1</v>
      </c>
      <c r="H46" s="2" t="n">
        <v>1106.19</v>
      </c>
      <c r="I46" t="inlineStr">
        <is>
          <t>Yes</t>
        </is>
      </c>
    </row>
    <row r="47">
      <c r="A47" t="inlineStr">
        <is>
          <t>JE-2374</t>
        </is>
      </c>
      <c r="B47" s="3" t="n">
        <v>46192</v>
      </c>
      <c r="C47" t="inlineStr">
        <is>
          <t>Carolina Biological</t>
        </is>
      </c>
      <c r="D47" t="inlineStr">
        <is>
          <t>Macroinvertebrate classroom kits</t>
        </is>
      </c>
      <c r="E47" s="2" t="n">
        <v>955.59</v>
      </c>
      <c r="F47" t="inlineStr">
        <is>
          <t>HFF-SUP</t>
        </is>
      </c>
      <c r="G47" s="4" t="n">
        <v>1</v>
      </c>
      <c r="H47" s="2" t="n">
        <v>955.59</v>
      </c>
      <c r="I47" t="inlineStr">
        <is>
          <t>Yes</t>
        </is>
      </c>
    </row>
    <row r="48">
      <c r="A48" t="inlineStr">
        <is>
          <t>JE-2390</t>
        </is>
      </c>
      <c r="B48" s="3" t="n">
        <v>46225</v>
      </c>
      <c r="C48" t="inlineStr">
        <is>
          <t>Carolina Biological</t>
        </is>
      </c>
      <c r="D48" t="inlineStr">
        <is>
          <t>Macroinvertebrate classroom kits</t>
        </is>
      </c>
      <c r="E48" s="2" t="n">
        <v>911.47</v>
      </c>
      <c r="F48" t="inlineStr">
        <is>
          <t>HFF-SUP</t>
        </is>
      </c>
      <c r="G48" s="4" t="n">
        <v>1</v>
      </c>
      <c r="H48" s="2" t="n">
        <v>911.47</v>
      </c>
      <c r="I48" t="inlineStr">
        <is>
          <t>Yes</t>
        </is>
      </c>
    </row>
    <row r="49">
      <c r="A49" t="inlineStr">
        <is>
          <t>JE-2308</t>
        </is>
      </c>
      <c r="B49" s="3" t="n">
        <v>46115</v>
      </c>
      <c r="C49" t="inlineStr">
        <is>
          <t>Blue Bird Charter Lines</t>
        </is>
      </c>
      <c r="D49" t="inlineStr">
        <is>
          <t>Field trip buses</t>
        </is>
      </c>
      <c r="E49" s="2" t="n">
        <v>861.52</v>
      </c>
      <c r="F49" t="inlineStr">
        <is>
          <t>HFF-BUS</t>
        </is>
      </c>
      <c r="G49" s="4" t="n">
        <v>1</v>
      </c>
      <c r="H49" s="2" t="n">
        <v>861.52</v>
      </c>
      <c r="I49" t="inlineStr">
        <is>
          <t>Yes</t>
        </is>
      </c>
    </row>
    <row r="50">
      <c r="A50" t="inlineStr">
        <is>
          <t>JE-2314</t>
        </is>
      </c>
      <c r="B50" s="3" t="n">
        <v>46125</v>
      </c>
      <c r="C50" t="inlineStr">
        <is>
          <t>Blue Bird Charter Lines</t>
        </is>
      </c>
      <c r="D50" t="inlineStr">
        <is>
          <t>Field trip buses</t>
        </is>
      </c>
      <c r="E50" s="2" t="n">
        <v>527.5</v>
      </c>
      <c r="F50" t="inlineStr">
        <is>
          <t>HFF-BUS</t>
        </is>
      </c>
      <c r="G50" s="4" t="n">
        <v>1</v>
      </c>
      <c r="H50" s="2" t="n">
        <v>527.5</v>
      </c>
      <c r="I50" t="inlineStr">
        <is>
          <t>Yes</t>
        </is>
      </c>
    </row>
    <row r="51">
      <c r="A51" t="inlineStr">
        <is>
          <t>JE-2342</t>
        </is>
      </c>
      <c r="B51" s="3" t="n">
        <v>46156</v>
      </c>
      <c r="C51" t="inlineStr">
        <is>
          <t>Blue Bird Charter Lines</t>
        </is>
      </c>
      <c r="D51" t="inlineStr">
        <is>
          <t>Field trip buses</t>
        </is>
      </c>
      <c r="E51" s="2" t="n">
        <v>726.35</v>
      </c>
      <c r="F51" t="inlineStr">
        <is>
          <t>HFF-BUS</t>
        </is>
      </c>
      <c r="G51" s="4" t="n">
        <v>1</v>
      </c>
      <c r="H51" s="2" t="n">
        <v>726.35</v>
      </c>
      <c r="I51" t="inlineStr">
        <is>
          <t>Yes</t>
        </is>
      </c>
    </row>
    <row r="52">
      <c r="A52" t="inlineStr">
        <is>
          <t>JE-2288</t>
        </is>
      </c>
      <c r="B52" s="3" t="n">
        <v>46087</v>
      </c>
      <c r="C52" t="inlineStr">
        <is>
          <t>Quill &amp; Ink Print Shop</t>
        </is>
      </c>
      <c r="D52" t="inlineStr">
        <is>
          <t>Student field guides</t>
        </is>
      </c>
      <c r="E52" s="2" t="n">
        <v>1086.14</v>
      </c>
      <c r="F52" t="inlineStr">
        <is>
          <t>HFF-PRT</t>
        </is>
      </c>
      <c r="G52" s="4" t="n">
        <v>1</v>
      </c>
      <c r="H52" s="2" t="n">
        <v>1086.14</v>
      </c>
      <c r="I52" t="inlineStr">
        <is>
          <t>Yes</t>
        </is>
      </c>
    </row>
    <row r="53">
      <c r="A53" t="inlineStr">
        <is>
          <t>JE-2295</t>
        </is>
      </c>
      <c r="B53" s="3" t="n">
        <v>46101</v>
      </c>
      <c r="C53" t="inlineStr">
        <is>
          <t>LaMotte Company</t>
        </is>
      </c>
      <c r="D53" t="inlineStr">
        <is>
          <t>Water test kits and reagents</t>
        </is>
      </c>
      <c r="E53" s="2" t="n">
        <v>1235.74</v>
      </c>
      <c r="F53" t="inlineStr">
        <is>
          <t>CPCG-EQP</t>
        </is>
      </c>
      <c r="G53" s="4" t="n">
        <v>1</v>
      </c>
      <c r="H53" s="2" t="n">
        <v>1235.74</v>
      </c>
      <c r="I53" t="inlineStr">
        <is>
          <t>Yes</t>
        </is>
      </c>
    </row>
    <row r="54">
      <c r="A54" t="inlineStr">
        <is>
          <t>JE-2360</t>
        </is>
      </c>
      <c r="B54" s="3" t="n">
        <v>46176</v>
      </c>
      <c r="C54" t="inlineStr">
        <is>
          <t>LaMotte Company</t>
        </is>
      </c>
      <c r="D54" t="inlineStr">
        <is>
          <t>Water test kits and reagents</t>
        </is>
      </c>
      <c r="E54" s="2" t="n">
        <v>1262.12</v>
      </c>
      <c r="F54" t="inlineStr">
        <is>
          <t>CPCG-EQP</t>
        </is>
      </c>
      <c r="G54" s="4" t="n">
        <v>1</v>
      </c>
      <c r="H54" s="2" t="n">
        <v>1262.12</v>
      </c>
      <c r="I54" t="inlineStr">
        <is>
          <t>Yes</t>
        </is>
      </c>
    </row>
    <row r="55">
      <c r="A55" t="inlineStr">
        <is>
          <t>JE-2367</t>
        </is>
      </c>
      <c r="B55" s="3" t="n">
        <v>46183</v>
      </c>
      <c r="C55" t="inlineStr">
        <is>
          <t>LaMotte Company</t>
        </is>
      </c>
      <c r="D55" t="inlineStr">
        <is>
          <t>Credit memo - returned damaged reagent case</t>
        </is>
      </c>
      <c r="E55" s="2" t="n">
        <v>-300.91</v>
      </c>
      <c r="F55" t="inlineStr">
        <is>
          <t>CPCG-EQP</t>
        </is>
      </c>
      <c r="G55" s="4" t="n">
        <v>1</v>
      </c>
      <c r="H55" s="2" t="n">
        <v>-300.91</v>
      </c>
      <c r="I55" t="inlineStr">
        <is>
          <t>Yes</t>
        </is>
      </c>
    </row>
    <row r="56">
      <c r="A56" t="inlineStr">
        <is>
          <t>JE-2356</t>
        </is>
      </c>
      <c r="B56" s="3" t="n">
        <v>46174</v>
      </c>
      <c r="C56" t="inlineStr">
        <is>
          <t>Riverside Deli</t>
        </is>
      </c>
      <c r="D56" t="inlineStr">
        <is>
          <t>Volunteer lunch - joint planting and monitoring day</t>
        </is>
      </c>
      <c r="E56" s="2" t="n">
        <v>359.91</v>
      </c>
      <c r="F56" t="inlineStr">
        <is>
          <t>SCWF-MAT</t>
        </is>
      </c>
      <c r="G56" s="4" t="n">
        <v>0.5</v>
      </c>
      <c r="H56" s="2" t="n">
        <v>179.96</v>
      </c>
      <c r="I56" t="inlineStr">
        <is>
          <t>No</t>
        </is>
      </c>
      <c r="J56" t="inlineStr">
        <is>
          <t>food is not allowable on the state fund</t>
        </is>
      </c>
    </row>
    <row r="57">
      <c r="A57" t="inlineStr">
        <is>
          <t>JE-2356</t>
        </is>
      </c>
      <c r="B57" s="3" t="n">
        <v>46174</v>
      </c>
      <c r="C57" t="inlineStr">
        <is>
          <t>Riverside Deli</t>
        </is>
      </c>
      <c r="D57" t="inlineStr">
        <is>
          <t>Volunteer lunch - joint planting and monitoring day</t>
        </is>
      </c>
      <c r="E57" s="2" t="n">
        <v>359.91</v>
      </c>
      <c r="F57" t="inlineStr">
        <is>
          <t>CPCG-VOL</t>
        </is>
      </c>
      <c r="G57" s="4" t="n">
        <v>0.5</v>
      </c>
      <c r="H57" s="2" t="n">
        <v>179.95</v>
      </c>
      <c r="I57" t="inlineStr">
        <is>
          <t>Yes</t>
        </is>
      </c>
    </row>
    <row r="58">
      <c r="A58" t="inlineStr">
        <is>
          <t>JE-2400</t>
        </is>
      </c>
      <c r="B58" s="3" t="n">
        <v>46232</v>
      </c>
      <c r="C58" t="inlineStr">
        <is>
          <t>Target</t>
        </is>
      </c>
      <c r="D58" t="inlineStr">
        <is>
          <t>Gift cards - top volunteer monitors</t>
        </is>
      </c>
      <c r="E58" s="2" t="n">
        <v>241.14</v>
      </c>
      <c r="F58" t="inlineStr">
        <is>
          <t>CPCG-VOL</t>
        </is>
      </c>
      <c r="G58" s="4" t="n">
        <v>1</v>
      </c>
      <c r="H58" s="2" t="n">
        <v>241.14</v>
      </c>
      <c r="I58" t="inlineStr">
        <is>
          <t>No</t>
        </is>
      </c>
      <c r="J58" t="inlineStr">
        <is>
          <t>gift cards are not allowable on the county grant</t>
        </is>
      </c>
    </row>
    <row r="59">
      <c r="A59" t="inlineStr">
        <is>
          <t>JE-2403</t>
        </is>
      </c>
      <c r="B59" s="3" t="n">
        <v>46246</v>
      </c>
      <c r="C59" t="inlineStr">
        <is>
          <t>Vintner's Cellar</t>
        </is>
      </c>
      <c r="D59" t="inlineStr">
        <is>
          <t>Wine for volunteer appreciation dinner</t>
        </is>
      </c>
      <c r="E59" s="2" t="n">
        <v>138.55</v>
      </c>
      <c r="F59" t="inlineStr">
        <is>
          <t>CPCG-VOL</t>
        </is>
      </c>
      <c r="G59" s="4" t="n">
        <v>1</v>
      </c>
      <c r="H59" s="2" t="n">
        <v>138.55</v>
      </c>
      <c r="I59" t="inlineStr">
        <is>
          <t>No</t>
        </is>
      </c>
      <c r="J59" t="inlineStr">
        <is>
          <t>alcohol is not allowable on the county grant</t>
        </is>
      </c>
    </row>
    <row r="60">
      <c r="A60" t="inlineStr">
        <is>
          <t>JE-2384</t>
        </is>
      </c>
      <c r="B60" s="3" t="n">
        <v>46206</v>
      </c>
      <c r="C60" t="inlineStr">
        <is>
          <t>Grocery Outlet</t>
        </is>
      </c>
      <c r="D60" t="inlineStr">
        <is>
          <t>Snacks and water - volunteer monitoring training</t>
        </is>
      </c>
      <c r="E60" s="2" t="n">
        <v>55.17</v>
      </c>
      <c r="F60" t="inlineStr">
        <is>
          <t>CPCG-VOL</t>
        </is>
      </c>
      <c r="G60" s="4" t="n">
        <v>1</v>
      </c>
      <c r="H60" s="2" t="n">
        <v>55.17</v>
      </c>
      <c r="I60" t="inlineStr">
        <is>
          <t>Yes</t>
        </is>
      </c>
    </row>
    <row r="61">
      <c r="A61" t="inlineStr">
        <is>
          <t>JE-2371</t>
        </is>
      </c>
      <c r="B61" s="3" t="n">
        <v>46189</v>
      </c>
      <c r="C61" t="inlineStr">
        <is>
          <t>Grocery Outlet</t>
        </is>
      </c>
      <c r="D61" t="inlineStr">
        <is>
          <t>Snacks and water - volunteer monitoring training</t>
        </is>
      </c>
      <c r="E61" s="2" t="n">
        <v>70.89</v>
      </c>
      <c r="F61" t="inlineStr">
        <is>
          <t>CPCG-VOL</t>
        </is>
      </c>
      <c r="G61" s="4" t="n">
        <v>1</v>
      </c>
      <c r="H61" s="2" t="n">
        <v>70.89</v>
      </c>
      <c r="I61" t="inlineStr">
        <is>
          <t>Yes</t>
        </is>
      </c>
    </row>
    <row r="62">
      <c r="A62" t="inlineStr">
        <is>
          <t>JE-2347</t>
        </is>
      </c>
      <c r="B62" s="3" t="n">
        <v>46170</v>
      </c>
      <c r="C62" t="inlineStr">
        <is>
          <t>Blue Bird Charter Lines</t>
        </is>
      </c>
      <c r="D62" t="inlineStr">
        <is>
          <t>Bus - students and volunteers, creek day (split)</t>
        </is>
      </c>
      <c r="E62" s="2" t="n">
        <v>866.4299999999999</v>
      </c>
      <c r="F62" t="inlineStr">
        <is>
          <t>HFF-BUS</t>
        </is>
      </c>
      <c r="G62" s="4" t="n">
        <v>0.7</v>
      </c>
      <c r="H62" s="2" t="n">
        <v>606.5</v>
      </c>
      <c r="I62" t="inlineStr">
        <is>
          <t>Yes</t>
        </is>
      </c>
    </row>
    <row r="63">
      <c r="A63" t="inlineStr">
        <is>
          <t>JE-2347</t>
        </is>
      </c>
      <c r="B63" s="3" t="n">
        <v>46170</v>
      </c>
      <c r="C63" t="inlineStr">
        <is>
          <t>Blue Bird Charter Lines</t>
        </is>
      </c>
      <c r="D63" t="inlineStr">
        <is>
          <t>Bus - students and volunteers, creek day (split)</t>
        </is>
      </c>
      <c r="E63" s="2" t="n">
        <v>866.4299999999999</v>
      </c>
      <c r="F63" t="inlineStr">
        <is>
          <t>CPCG-OUT</t>
        </is>
      </c>
      <c r="G63" s="4" t="n">
        <v>0.3</v>
      </c>
      <c r="H63" s="2" t="n">
        <v>259.93</v>
      </c>
      <c r="I63" t="inlineStr">
        <is>
          <t>Yes</t>
        </is>
      </c>
    </row>
    <row r="64">
      <c r="A64" t="inlineStr">
        <is>
          <t>JE-2297</t>
        </is>
      </c>
      <c r="B64" s="3" t="n">
        <v>46105</v>
      </c>
      <c r="C64" t="inlineStr">
        <is>
          <t>Quill &amp; Ink Print Shop</t>
        </is>
      </c>
      <c r="D64" t="inlineStr">
        <is>
          <t>Monitoring volunteer recruitment flyers</t>
        </is>
      </c>
      <c r="E64" s="2" t="n">
        <v>514.21</v>
      </c>
      <c r="F64" t="inlineStr">
        <is>
          <t>CPCG-OUT</t>
        </is>
      </c>
      <c r="G64" s="4" t="n">
        <v>1</v>
      </c>
      <c r="H64" s="2" t="n">
        <v>514.21</v>
      </c>
      <c r="I64" t="inlineStr">
        <is>
          <t>Yes</t>
        </is>
      </c>
    </row>
    <row r="65">
      <c r="A65" t="inlineStr">
        <is>
          <t>JE-2294</t>
        </is>
      </c>
      <c r="B65" s="3" t="n">
        <v>46098</v>
      </c>
      <c r="C65" t="inlineStr">
        <is>
          <t>Everline Insurance</t>
        </is>
      </c>
      <c r="D65" t="inlineStr">
        <is>
          <t>General liability insurance</t>
        </is>
      </c>
      <c r="E65" s="2" t="n">
        <v>1059.27</v>
      </c>
      <c r="F65" t="inlineStr">
        <is>
          <t>GEN-OPS</t>
        </is>
      </c>
      <c r="G65" s="4" t="n">
        <v>1</v>
      </c>
      <c r="H65" s="2" t="n">
        <v>1059.27</v>
      </c>
      <c r="I65" t="inlineStr">
        <is>
          <t>No</t>
        </is>
      </c>
      <c r="J65" t="inlineStr">
        <is>
          <t>general operations, not grant spending</t>
        </is>
      </c>
    </row>
    <row r="66">
      <c r="A66" t="inlineStr">
        <is>
          <t>JE-2387</t>
        </is>
      </c>
      <c r="B66" s="3" t="n">
        <v>46210</v>
      </c>
      <c r="C66" t="inlineStr">
        <is>
          <t>Mossbank Accounting</t>
        </is>
      </c>
      <c r="D66" t="inlineStr">
        <is>
          <t>Annual audit deposit</t>
        </is>
      </c>
      <c r="E66" s="2" t="n">
        <v>1340.94</v>
      </c>
      <c r="F66" t="inlineStr">
        <is>
          <t>GEN-OPS</t>
        </is>
      </c>
      <c r="G66" s="4" t="n">
        <v>1</v>
      </c>
      <c r="H66" s="2" t="n">
        <v>1340.94</v>
      </c>
      <c r="I66" t="inlineStr">
        <is>
          <t>No</t>
        </is>
      </c>
      <c r="J66" t="inlineStr">
        <is>
          <t>general operations, not grant spending</t>
        </is>
      </c>
    </row>
    <row r="67">
      <c r="A67" t="inlineStr">
        <is>
          <t>JE-2278</t>
        </is>
      </c>
      <c r="B67" s="3" t="n">
        <v>46063</v>
      </c>
      <c r="C67" t="inlineStr">
        <is>
          <t>Comcast Business</t>
        </is>
      </c>
      <c r="D67" t="inlineStr">
        <is>
          <t>Office internet</t>
        </is>
      </c>
      <c r="E67" s="2" t="n">
        <v>1774.76</v>
      </c>
      <c r="F67" t="inlineStr">
        <is>
          <t>GEN-OPS</t>
        </is>
      </c>
      <c r="G67" s="4" t="n">
        <v>1</v>
      </c>
      <c r="H67" s="2" t="n">
        <v>1774.76</v>
      </c>
      <c r="I67" t="inlineStr">
        <is>
          <t>No</t>
        </is>
      </c>
      <c r="J67" t="inlineStr">
        <is>
          <t>general operations, not grant spending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Millbrook Watershed Alliance</dc:creator>
  <dcterms:created xsi:type="dcterms:W3CDTF">2026-01-15T09:00:00Z</dcterms:created>
  <dcterms:modified xsi:type="dcterms:W3CDTF">2026-01-15T09:00:00Z</dcterms:modified>
  <cp:lastModifiedBy>Millbrook Watershed Alliance</cp:lastModifiedBy>
</cp:coreProperties>
</file>