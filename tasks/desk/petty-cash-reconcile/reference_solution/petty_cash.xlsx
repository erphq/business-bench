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Cash count" sheetId="2" state="visible" r:id="rId2"/>
    <sheet name="Receipts since 14 Aug" sheetId="3" state="visible" r:id="rId3"/>
    <sheet name="Replenishment co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Oakhurst Pediatrics - petty cash reconciliation, 31 August 2026</t>
        </is>
      </c>
    </row>
    <row r="2">
      <c r="A2" t="inlineStr">
        <is>
          <t>Imprest fund</t>
        </is>
      </c>
      <c r="B2" t="n">
        <v>400</v>
      </c>
    </row>
    <row r="3">
      <c r="A3" t="inlineStr">
        <is>
          <t>Cash counted 31 Aug</t>
        </is>
      </c>
      <c r="B3">
        <f>'Cash count'!D10</f>
        <v/>
      </c>
    </row>
    <row r="4">
      <c r="A4" t="inlineStr">
        <is>
          <t>Receipts on hand since the 14 Aug replenishment</t>
        </is>
      </c>
      <c r="B4">
        <f>SUM('Receipts since 14 Aug'!F2:F13)</f>
        <v/>
      </c>
    </row>
    <row r="5">
      <c r="A5" t="inlineStr">
        <is>
          <t>Vouchers with no receipt</t>
        </is>
      </c>
      <c r="B5">
        <f>SUMIF('Receipts since 14 Aug'!D2:D13,1360,'Receipts since 14 Aug'!E2:E13)</f>
        <v/>
      </c>
    </row>
    <row r="6">
      <c r="A6" t="inlineStr">
        <is>
          <t>Accounted for</t>
        </is>
      </c>
      <c r="B6">
        <f>B3+B4+B5</f>
        <v/>
      </c>
    </row>
    <row r="8">
      <c r="A8" t="inlineStr">
        <is>
          <t>Cash over / (short)</t>
        </is>
      </c>
      <c r="B8">
        <f>ROUND(B6-B2,2)</f>
        <v/>
      </c>
    </row>
    <row r="9">
      <c r="A9" t="inlineStr">
        <is>
          <t>Replenishment needed to restore the fund</t>
        </is>
      </c>
      <c r="B9">
        <f>ROUND(B2-B3,2)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Denomination</t>
        </is>
      </c>
      <c r="B1" t="inlineStr">
        <is>
          <t>Value</t>
        </is>
      </c>
      <c r="C1" t="inlineStr">
        <is>
          <t>Count</t>
        </is>
      </c>
      <c r="D1" t="inlineStr">
        <is>
          <t>Amount</t>
        </is>
      </c>
    </row>
    <row r="2">
      <c r="A2" t="inlineStr">
        <is>
          <t>Twenties</t>
        </is>
      </c>
      <c r="B2" t="n">
        <v>20</v>
      </c>
      <c r="C2" t="n">
        <v>3</v>
      </c>
      <c r="D2">
        <f>ROUND(B2*C2,2)</f>
        <v/>
      </c>
    </row>
    <row r="3">
      <c r="A3" t="inlineStr">
        <is>
          <t>Tens</t>
        </is>
      </c>
      <c r="B3" t="n">
        <v>10</v>
      </c>
      <c r="C3" t="n">
        <v>1</v>
      </c>
      <c r="D3">
        <f>ROUND(B3*C3,2)</f>
        <v/>
      </c>
    </row>
    <row r="4">
      <c r="A4" t="inlineStr">
        <is>
          <t>Fives</t>
        </is>
      </c>
      <c r="B4" t="n">
        <v>5</v>
      </c>
      <c r="C4" t="n">
        <v>3</v>
      </c>
      <c r="D4">
        <f>ROUND(B4*C4,2)</f>
        <v/>
      </c>
    </row>
    <row r="5">
      <c r="A5" t="inlineStr">
        <is>
          <t>Ones</t>
        </is>
      </c>
      <c r="B5" t="n">
        <v>1</v>
      </c>
      <c r="C5" t="n">
        <v>9</v>
      </c>
      <c r="D5">
        <f>ROUND(B5*C5,2)</f>
        <v/>
      </c>
    </row>
    <row r="6">
      <c r="A6" t="inlineStr">
        <is>
          <t>Quarters</t>
        </is>
      </c>
      <c r="B6" t="n">
        <v>0.25</v>
      </c>
      <c r="C6" t="n">
        <v>0</v>
      </c>
      <c r="D6">
        <f>ROUND(B6*C6,2)</f>
        <v/>
      </c>
    </row>
    <row r="7">
      <c r="A7" t="inlineStr">
        <is>
          <t>Dimes</t>
        </is>
      </c>
      <c r="B7" t="n">
        <v>0.1</v>
      </c>
      <c r="C7" t="n">
        <v>4</v>
      </c>
      <c r="D7">
        <f>ROUND(B7*C7,2)</f>
        <v/>
      </c>
    </row>
    <row r="8">
      <c r="A8" t="inlineStr">
        <is>
          <t>Nickels</t>
        </is>
      </c>
      <c r="B8" t="n">
        <v>0.05</v>
      </c>
      <c r="C8" t="n">
        <v>1</v>
      </c>
      <c r="D8">
        <f>ROUND(B8*C8,2)</f>
        <v/>
      </c>
    </row>
    <row r="9">
      <c r="A9" t="inlineStr">
        <is>
          <t>Pennies</t>
        </is>
      </c>
      <c r="B9" t="n">
        <v>0.01</v>
      </c>
      <c r="C9" t="n">
        <v>2</v>
      </c>
      <c r="D9">
        <f>ROUND(B9*C9,2)</f>
        <v/>
      </c>
    </row>
    <row r="10">
      <c r="A10" t="inlineStr">
        <is>
          <t>Cash counted 31 Aug</t>
        </is>
      </c>
      <c r="D10">
        <f>SUM(D2:D9)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4" customWidth="1" min="3" max="3"/>
    <col width="9" customWidth="1" min="4" max="4"/>
    <col width="10" customWidth="1" min="5" max="5"/>
    <col width="13" customWidth="1" min="6" max="6"/>
    <col width="50" customWidth="1" min="7" max="7"/>
  </cols>
  <sheetData>
    <row r="1">
      <c r="A1" t="inlineStr">
        <is>
          <t>Voucher</t>
        </is>
      </c>
      <c r="B1" t="inlineStr">
        <is>
          <t>Date</t>
        </is>
      </c>
      <c r="C1" t="inlineStr">
        <is>
          <t>Paid to</t>
        </is>
      </c>
      <c r="D1" t="inlineStr">
        <is>
          <t>Account</t>
        </is>
      </c>
      <c r="E1" t="inlineStr">
        <is>
          <t>Logged</t>
        </is>
      </c>
      <c r="F1" t="inlineStr">
        <is>
          <t>Receipt total</t>
        </is>
      </c>
      <c r="G1" t="inlineStr">
        <is>
          <t>Note</t>
        </is>
      </c>
    </row>
    <row r="2">
      <c r="A2" t="inlineStr">
        <is>
          <t>PC-226</t>
        </is>
      </c>
      <c r="B2" s="2" t="n">
        <v>46255</v>
      </c>
      <c r="C2" t="inlineStr">
        <is>
          <t>The UPS Store #4471</t>
        </is>
      </c>
      <c r="D2" t="n">
        <v>6610</v>
      </c>
      <c r="E2" t="n">
        <v>18.84</v>
      </c>
      <c r="F2" t="n">
        <v>18.84</v>
      </c>
      <c r="G2" t="inlineStr"/>
    </row>
    <row r="3">
      <c r="A3" t="inlineStr">
        <is>
          <t>PC-227</t>
        </is>
      </c>
      <c r="B3" s="2" t="n">
        <v>46258</v>
      </c>
      <c r="C3" t="inlineStr">
        <is>
          <t>Office Depot #2231</t>
        </is>
      </c>
      <c r="D3" t="n">
        <v>6600</v>
      </c>
      <c r="E3" t="n">
        <v>82.98</v>
      </c>
      <c r="F3" t="n">
        <v>28.98</v>
      </c>
      <c r="G3" t="inlineStr">
        <is>
          <t>logged as 82.98; receipt shows 28.98</t>
        </is>
      </c>
    </row>
    <row r="4">
      <c r="A4" t="inlineStr">
        <is>
          <t>PC-228</t>
        </is>
      </c>
      <c r="B4" s="2" t="n">
        <v>46258</v>
      </c>
      <c r="C4" t="inlineStr">
        <is>
          <t>Safeway #1882</t>
        </is>
      </c>
      <c r="D4" t="n">
        <v>1360</v>
      </c>
      <c r="E4" t="n">
        <v>19.79</v>
      </c>
      <c r="G4" t="inlineStr">
        <is>
          <t>NO RECEIPT - not expensed, held in 1360 until found</t>
        </is>
      </c>
    </row>
    <row r="5">
      <c r="A5" t="inlineStr">
        <is>
          <t>PC-229</t>
        </is>
      </c>
      <c r="B5" s="2" t="n">
        <v>46258</v>
      </c>
      <c r="C5" t="inlineStr">
        <is>
          <t>Target #1102</t>
        </is>
      </c>
      <c r="D5" t="n">
        <v>6520</v>
      </c>
      <c r="E5" t="n">
        <v>4.31</v>
      </c>
      <c r="F5" t="n">
        <v>4.31</v>
      </c>
      <c r="G5" t="inlineStr"/>
    </row>
    <row r="6">
      <c r="A6" t="inlineStr">
        <is>
          <t>PC-230</t>
        </is>
      </c>
      <c r="B6" s="2" t="n">
        <v>46258</v>
      </c>
      <c r="C6" t="inlineStr">
        <is>
          <t>Staples #0442</t>
        </is>
      </c>
      <c r="D6" t="n">
        <v>6600</v>
      </c>
      <c r="E6" t="n">
        <v>121.86</v>
      </c>
      <c r="F6" t="n">
        <v>121.86</v>
      </c>
      <c r="G6" t="inlineStr"/>
    </row>
    <row r="7">
      <c r="A7" t="inlineStr">
        <is>
          <t>PC-231</t>
        </is>
      </c>
      <c r="B7" s="2" t="n">
        <v>46259</v>
      </c>
      <c r="C7" t="inlineStr">
        <is>
          <t>Safeway #1882</t>
        </is>
      </c>
      <c r="D7" t="n">
        <v>6450</v>
      </c>
      <c r="E7" t="n">
        <v>15.14</v>
      </c>
      <c r="F7" t="n">
        <v>15.14</v>
      </c>
      <c r="G7" t="inlineStr"/>
    </row>
    <row r="8">
      <c r="A8" t="inlineStr">
        <is>
          <t>PC-232</t>
        </is>
      </c>
      <c r="B8" s="2" t="n">
        <v>46259</v>
      </c>
      <c r="C8" t="inlineStr">
        <is>
          <t>USPS Oakhurst Station</t>
        </is>
      </c>
      <c r="D8" t="n">
        <v>6610</v>
      </c>
      <c r="E8" t="n">
        <v>18.7</v>
      </c>
      <c r="F8" t="n">
        <v>18.7</v>
      </c>
      <c r="G8" t="inlineStr"/>
    </row>
    <row r="9">
      <c r="A9" t="inlineStr">
        <is>
          <t>PC-233</t>
        </is>
      </c>
      <c r="B9" s="2" t="n">
        <v>46260</v>
      </c>
      <c r="C9" t="inlineStr">
        <is>
          <t>Target #1102</t>
        </is>
      </c>
      <c r="D9" t="n">
        <v>6520</v>
      </c>
      <c r="E9" t="n">
        <v>13.52</v>
      </c>
      <c r="F9" t="n">
        <v>13.52</v>
      </c>
      <c r="G9" t="inlineStr"/>
    </row>
    <row r="10">
      <c r="A10" t="inlineStr">
        <is>
          <t>(none)</t>
        </is>
      </c>
      <c r="B10" s="2" t="n">
        <v>46261</v>
      </c>
      <c r="C10" t="inlineStr">
        <is>
          <t>The UPS Store #4471</t>
        </is>
      </c>
      <c r="D10" t="n">
        <v>6610</v>
      </c>
      <c r="F10" t="n">
        <v>27.72</v>
      </c>
      <c r="G10" t="inlineStr">
        <is>
          <t>receipt in envelope, never logged</t>
        </is>
      </c>
    </row>
    <row r="11">
      <c r="A11" t="inlineStr">
        <is>
          <t>PC-234</t>
        </is>
      </c>
      <c r="B11" s="2" t="n">
        <v>46261</v>
      </c>
      <c r="C11" t="inlineStr">
        <is>
          <t>Staples #0442</t>
        </is>
      </c>
      <c r="D11" t="n">
        <v>6600</v>
      </c>
      <c r="E11" t="n">
        <v>19.47</v>
      </c>
      <c r="F11" t="n">
        <v>19.47</v>
      </c>
      <c r="G11" t="inlineStr"/>
    </row>
    <row r="12">
      <c r="A12" t="inlineStr">
        <is>
          <t>PC-235</t>
        </is>
      </c>
      <c r="B12" s="2" t="n">
        <v>46262</v>
      </c>
      <c r="C12" t="inlineStr">
        <is>
          <t>Costco Whse #0891</t>
        </is>
      </c>
      <c r="D12" t="n">
        <v>6450</v>
      </c>
      <c r="E12" t="n">
        <v>10.8</v>
      </c>
      <c r="F12" t="n">
        <v>10.8</v>
      </c>
      <c r="G12" t="inlineStr"/>
    </row>
    <row r="13">
      <c r="A13" t="inlineStr">
        <is>
          <t>PC-221</t>
        </is>
      </c>
      <c r="B13" s="2" t="n">
        <v>46238</v>
      </c>
      <c r="C13" t="inlineStr">
        <is>
          <t>Office Depot #2231</t>
        </is>
      </c>
      <c r="G13" t="inlineStr">
        <is>
          <t>already reimbursed on the 14 Aug replenishment - excluded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1">
      <c r="A1" t="inlineStr">
        <is>
          <t>Account</t>
        </is>
      </c>
      <c r="B1" t="inlineStr">
        <is>
          <t>Name</t>
        </is>
      </c>
      <c r="C1" t="inlineStr">
        <is>
          <t>Amount</t>
        </is>
      </c>
    </row>
    <row r="2">
      <c r="A2" t="n">
        <v>6610</v>
      </c>
      <c r="B2" t="inlineStr">
        <is>
          <t>Postage &amp; shipping</t>
        </is>
      </c>
      <c r="C2">
        <f>SUMIF('Receipts since 14 Aug'!D2:D13,6610,'Receipts since 14 Aug'!F2:F13)</f>
        <v/>
      </c>
    </row>
    <row r="3">
      <c r="A3" t="n">
        <v>6600</v>
      </c>
      <c r="B3" t="inlineStr">
        <is>
          <t>Office supplies</t>
        </is>
      </c>
      <c r="C3">
        <f>SUMIF('Receipts since 14 Aug'!D2:D13,6600,'Receipts since 14 Aug'!F2:F13)</f>
        <v/>
      </c>
    </row>
    <row r="4">
      <c r="A4" t="n">
        <v>6450</v>
      </c>
      <c r="B4" t="inlineStr">
        <is>
          <t>Staff kitchen &amp; refreshments</t>
        </is>
      </c>
      <c r="C4">
        <f>SUMIF('Receipts since 14 Aug'!D2:D13,6450,'Receipts since 14 Aug'!F2:F13)</f>
        <v/>
      </c>
    </row>
    <row r="5">
      <c r="A5" t="n">
        <v>6520</v>
      </c>
      <c r="B5" t="inlineStr">
        <is>
          <t>Waiting room &amp; patient supplies</t>
        </is>
      </c>
      <c r="C5">
        <f>SUMIF('Receipts since 14 Aug'!D2:D13,6520,'Receipts since 14 Aug'!F2:F13)</f>
        <v/>
      </c>
    </row>
    <row r="6">
      <c r="A6" t="n">
        <v>1360</v>
      </c>
      <c r="B6" t="inlineStr">
        <is>
          <t>Missing receipts (suspense)</t>
        </is>
      </c>
      <c r="C6">
        <f>SUMIF('Receipts since 14 Aug'!D2:D13,1360,'Receipts since 14 Aug'!E2:E13)</f>
        <v/>
      </c>
    </row>
    <row r="7">
      <c r="A7" t="n">
        <v>6990</v>
      </c>
      <c r="B7" t="inlineStr">
        <is>
          <t>Cash over/short</t>
        </is>
      </c>
      <c r="C7">
        <f>-Reconciliation!B8</f>
        <v/>
      </c>
    </row>
    <row r="8">
      <c r="B8" t="inlineStr">
        <is>
          <t>Replenishment check total</t>
        </is>
      </c>
      <c r="C8">
        <f>SUM(C2:C7)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