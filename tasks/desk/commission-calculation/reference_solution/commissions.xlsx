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 2026" sheetId="1" state="visible" r:id="rId1"/>
    <sheet name="Deals" sheetId="2" state="visible" r:id="rId2"/>
    <sheet name="Refu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14" customWidth="1" min="4" max="4"/>
    <col width="18" customWidth="1" min="5" max="5"/>
    <col width="14" customWidth="1" min="6" max="6"/>
  </cols>
  <sheetData>
    <row r="1">
      <c r="A1" s="1" t="inlineStr">
        <is>
          <t>Rep</t>
        </is>
      </c>
      <c r="B1" s="1" t="inlineStr">
        <is>
          <t>Plan</t>
        </is>
      </c>
      <c r="C1" s="1" t="inlineStr">
        <is>
          <t>Closed won (credited)</t>
        </is>
      </c>
      <c r="D1" s="1" t="inlineStr">
        <is>
          <t>Commission</t>
        </is>
      </c>
      <c r="E1" s="1" t="inlineStr">
        <is>
          <t>Refund recoveries</t>
        </is>
      </c>
      <c r="F1" s="1" t="inlineStr">
        <is>
          <t>Net payout</t>
        </is>
      </c>
    </row>
    <row r="2">
      <c r="A2" t="inlineStr">
        <is>
          <t>Kwame Osei</t>
        </is>
      </c>
      <c r="B2" t="inlineStr">
        <is>
          <t>Standard</t>
        </is>
      </c>
      <c r="C2">
        <f>ROUND(SUMIFS(Deals!$D$2:$D$57,Deals!$C$2:$C$57,A2),2)</f>
        <v/>
      </c>
      <c r="D2">
        <f>ROUND(MIN(C2,20000)*0.03+MAX(MIN(C2,50000)-20000,0)*0.05+MAX(C2-50000,0)*0.08,2)</f>
        <v/>
      </c>
      <c r="E2">
        <f>ROUND(SUMIFS(Refunds!$G$2:$G$5,Refunds!$D$2:$D$5,A2),2)</f>
        <v/>
      </c>
      <c r="F2">
        <f>D2-E2</f>
        <v/>
      </c>
    </row>
    <row r="3">
      <c r="A3" t="inlineStr">
        <is>
          <t>Rebecca Brooks</t>
        </is>
      </c>
      <c r="B3" t="inlineStr">
        <is>
          <t>Standard</t>
        </is>
      </c>
      <c r="C3">
        <f>ROUND(SUMIFS(Deals!$D$2:$D$57,Deals!$C$2:$C$57,A3),2)</f>
        <v/>
      </c>
      <c r="D3">
        <f>ROUND(MIN(C3,20000)*0.03+MAX(MIN(C3,50000)-20000,0)*0.05+MAX(C3-50000,0)*0.08,2)</f>
        <v/>
      </c>
      <c r="E3">
        <f>ROUND(SUMIFS(Refunds!$G$2:$G$5,Refunds!$D$2:$D$5,A3),2)</f>
        <v/>
      </c>
      <c r="F3">
        <f>D3-E3</f>
        <v/>
      </c>
    </row>
    <row r="4">
      <c r="A4" t="inlineStr">
        <is>
          <t>Laila Haddad</t>
        </is>
      </c>
      <c r="B4" t="inlineStr">
        <is>
          <t>Senior</t>
        </is>
      </c>
      <c r="C4">
        <f>ROUND(SUMIFS(Deals!$D$2:$D$57,Deals!$C$2:$C$57,A4),2)</f>
        <v/>
      </c>
      <c r="D4">
        <f>ROUND(MIN(C4,40000)*0.05+MAX(C4-40000,0)*0.09,2)</f>
        <v/>
      </c>
      <c r="E4">
        <f>ROUND(SUMIFS(Refunds!$G$2:$G$5,Refunds!$D$2:$D$5,A4),2)</f>
        <v/>
      </c>
      <c r="F4">
        <f>D4-E4</f>
        <v/>
      </c>
    </row>
    <row r="5">
      <c r="A5" t="inlineStr">
        <is>
          <t>Daniel Kim</t>
        </is>
      </c>
      <c r="B5" t="inlineStr">
        <is>
          <t>Standard</t>
        </is>
      </c>
      <c r="C5">
        <f>ROUND(SUMIFS(Deals!$D$2:$D$57,Deals!$C$2:$C$57,A5),2)</f>
        <v/>
      </c>
      <c r="D5">
        <f>ROUND(MIN(C5,20000)*0.03+MAX(MIN(C5,50000)-20000,0)*0.05+MAX(C5-50000,0)*0.08,2)</f>
        <v/>
      </c>
      <c r="E5">
        <f>ROUND(SUMIFS(Refunds!$G$2:$G$5,Refunds!$D$2:$D$5,A5),2)</f>
        <v/>
      </c>
      <c r="F5">
        <f>D5-E5</f>
        <v/>
      </c>
    </row>
    <row r="6">
      <c r="A6" t="inlineStr">
        <is>
          <t>Deborah Ward</t>
        </is>
      </c>
      <c r="B6" t="inlineStr">
        <is>
          <t>Standard</t>
        </is>
      </c>
      <c r="C6">
        <f>ROUND(SUMIFS(Deals!$D$2:$D$57,Deals!$C$2:$C$57,A6),2)</f>
        <v/>
      </c>
      <c r="D6">
        <f>ROUND(MIN(C6,20000)*0.03+MAX(MIN(C6,50000)-20000,0)*0.05+MAX(C6-50000,0)*0.08,2)</f>
        <v/>
      </c>
      <c r="E6">
        <f>ROUND(SUMIFS(Refunds!$G$2:$G$5,Refunds!$D$2:$D$5,A6),2)</f>
        <v/>
      </c>
      <c r="F6">
        <f>D6-E6</f>
        <v/>
      </c>
    </row>
    <row r="7">
      <c r="A7" t="inlineStr">
        <is>
          <t>Total</t>
        </is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3" max="3"/>
  </cols>
  <sheetData>
    <row r="1">
      <c r="A1" s="1" t="inlineStr">
        <is>
          <t>order</t>
        </is>
      </c>
      <c r="B1" s="1" t="inlineStr">
        <is>
          <t>close_date</t>
        </is>
      </c>
      <c r="C1" s="1" t="inlineStr">
        <is>
          <t>rep</t>
        </is>
      </c>
      <c r="D1" s="1" t="inlineStr">
        <is>
          <t>credited_amount</t>
        </is>
      </c>
    </row>
    <row r="2">
      <c r="A2" t="inlineStr">
        <is>
          <t>SO-71908</t>
        </is>
      </c>
      <c r="B2" t="inlineStr">
        <is>
          <t>2026-08-01</t>
        </is>
      </c>
      <c r="C2" t="inlineStr">
        <is>
          <t>Laila Haddad</t>
        </is>
      </c>
      <c r="D2" t="n">
        <v>6109.04</v>
      </c>
    </row>
    <row r="3">
      <c r="A3" t="inlineStr">
        <is>
          <t>SO-71911</t>
        </is>
      </c>
      <c r="B3" t="inlineStr">
        <is>
          <t>2026-08-01</t>
        </is>
      </c>
      <c r="C3" t="inlineStr">
        <is>
          <t>Kwame Osei</t>
        </is>
      </c>
      <c r="D3" t="n">
        <v>9270.540000000001</v>
      </c>
    </row>
    <row r="4">
      <c r="A4" t="inlineStr">
        <is>
          <t>SO-71914</t>
        </is>
      </c>
      <c r="B4" t="inlineStr">
        <is>
          <t>2026-08-02</t>
        </is>
      </c>
      <c r="C4" t="inlineStr">
        <is>
          <t>Daniel Kim</t>
        </is>
      </c>
      <c r="D4" t="n">
        <v>1400.58</v>
      </c>
    </row>
    <row r="5">
      <c r="A5" t="inlineStr">
        <is>
          <t>SO-71915</t>
        </is>
      </c>
      <c r="B5" t="inlineStr">
        <is>
          <t>2026-08-02</t>
        </is>
      </c>
      <c r="C5" t="inlineStr">
        <is>
          <t>Kwame Osei</t>
        </is>
      </c>
      <c r="D5" t="n">
        <v>5062.98</v>
      </c>
    </row>
    <row r="6">
      <c r="A6" t="inlineStr">
        <is>
          <t>SO-71919</t>
        </is>
      </c>
      <c r="B6" t="inlineStr">
        <is>
          <t>2026-08-03</t>
        </is>
      </c>
      <c r="C6" t="inlineStr">
        <is>
          <t>Deborah Ward</t>
        </is>
      </c>
      <c r="D6" t="n">
        <v>4732.25</v>
      </c>
    </row>
    <row r="7">
      <c r="A7" t="inlineStr">
        <is>
          <t>SO-71920</t>
        </is>
      </c>
      <c r="B7" t="inlineStr">
        <is>
          <t>2026-08-04</t>
        </is>
      </c>
      <c r="C7" t="inlineStr">
        <is>
          <t>Kwame Osei</t>
        </is>
      </c>
      <c r="D7" t="n">
        <v>1730.78</v>
      </c>
    </row>
    <row r="8">
      <c r="A8" t="inlineStr">
        <is>
          <t>SO-71924</t>
        </is>
      </c>
      <c r="B8" t="inlineStr">
        <is>
          <t>2026-08-04</t>
        </is>
      </c>
      <c r="C8" t="inlineStr">
        <is>
          <t>Deborah Ward</t>
        </is>
      </c>
      <c r="D8" t="n">
        <v>4418.67</v>
      </c>
    </row>
    <row r="9">
      <c r="A9" t="inlineStr">
        <is>
          <t>SO-71924</t>
        </is>
      </c>
      <c r="B9" t="inlineStr">
        <is>
          <t>2026-08-04</t>
        </is>
      </c>
      <c r="C9" t="inlineStr">
        <is>
          <t>Kwame Osei</t>
        </is>
      </c>
      <c r="D9" t="n">
        <v>4418.67</v>
      </c>
    </row>
    <row r="10">
      <c r="A10" t="inlineStr">
        <is>
          <t>SO-71928</t>
        </is>
      </c>
      <c r="B10" t="inlineStr">
        <is>
          <t>2026-08-05</t>
        </is>
      </c>
      <c r="C10" t="inlineStr">
        <is>
          <t>Deborah Ward</t>
        </is>
      </c>
      <c r="D10" t="n">
        <v>8635.42</v>
      </c>
    </row>
    <row r="11">
      <c r="A11" t="inlineStr">
        <is>
          <t>SO-71929</t>
        </is>
      </c>
      <c r="B11" t="inlineStr">
        <is>
          <t>2026-08-05</t>
        </is>
      </c>
      <c r="C11" t="inlineStr">
        <is>
          <t>Laila Haddad</t>
        </is>
      </c>
      <c r="D11" t="n">
        <v>8571.700000000001</v>
      </c>
    </row>
    <row r="12">
      <c r="A12" t="inlineStr">
        <is>
          <t>SO-71932</t>
        </is>
      </c>
      <c r="B12" t="inlineStr">
        <is>
          <t>2026-08-06</t>
        </is>
      </c>
      <c r="C12" t="inlineStr">
        <is>
          <t>Daniel Kim</t>
        </is>
      </c>
      <c r="D12" t="n">
        <v>7183.74</v>
      </c>
    </row>
    <row r="13">
      <c r="A13" t="inlineStr">
        <is>
          <t>SO-71935</t>
        </is>
      </c>
      <c r="B13" t="inlineStr">
        <is>
          <t>2026-08-06</t>
        </is>
      </c>
      <c r="C13" t="inlineStr">
        <is>
          <t>Kwame Osei</t>
        </is>
      </c>
      <c r="D13" t="n">
        <v>9472.66</v>
      </c>
    </row>
    <row r="14">
      <c r="A14" t="inlineStr">
        <is>
          <t>SO-71937</t>
        </is>
      </c>
      <c r="B14" t="inlineStr">
        <is>
          <t>2026-08-07</t>
        </is>
      </c>
      <c r="C14" t="inlineStr">
        <is>
          <t>Daniel Kim</t>
        </is>
      </c>
      <c r="D14" t="n">
        <v>4055.89</v>
      </c>
    </row>
    <row r="15">
      <c r="A15" t="inlineStr">
        <is>
          <t>SO-71939</t>
        </is>
      </c>
      <c r="B15" t="inlineStr">
        <is>
          <t>2026-08-07</t>
        </is>
      </c>
      <c r="C15" t="inlineStr">
        <is>
          <t>Daniel Kim</t>
        </is>
      </c>
      <c r="D15" t="n">
        <v>6541.32</v>
      </c>
    </row>
    <row r="16">
      <c r="A16" t="inlineStr">
        <is>
          <t>SO-71943</t>
        </is>
      </c>
      <c r="B16" t="inlineStr">
        <is>
          <t>2026-08-07</t>
        </is>
      </c>
      <c r="C16" t="inlineStr">
        <is>
          <t>Deborah Ward</t>
        </is>
      </c>
      <c r="D16" t="n">
        <v>1755.3</v>
      </c>
    </row>
    <row r="17">
      <c r="A17" t="inlineStr">
        <is>
          <t>SO-71944</t>
        </is>
      </c>
      <c r="B17" t="inlineStr">
        <is>
          <t>2026-08-07</t>
        </is>
      </c>
      <c r="C17" t="inlineStr">
        <is>
          <t>Rebecca Brooks</t>
        </is>
      </c>
      <c r="D17" t="n">
        <v>7260.66</v>
      </c>
    </row>
    <row r="18">
      <c r="A18" t="inlineStr">
        <is>
          <t>SO-71945</t>
        </is>
      </c>
      <c r="B18" t="inlineStr">
        <is>
          <t>2026-08-08</t>
        </is>
      </c>
      <c r="C18" t="inlineStr">
        <is>
          <t>Laila Haddad</t>
        </is>
      </c>
      <c r="D18" t="n">
        <v>4208.97</v>
      </c>
    </row>
    <row r="19">
      <c r="A19" t="inlineStr">
        <is>
          <t>SO-71946</t>
        </is>
      </c>
      <c r="B19" t="inlineStr">
        <is>
          <t>2026-08-08</t>
        </is>
      </c>
      <c r="C19" t="inlineStr">
        <is>
          <t>Laila Haddad</t>
        </is>
      </c>
      <c r="D19" t="n">
        <v>3759.42</v>
      </c>
    </row>
    <row r="20">
      <c r="A20" t="inlineStr">
        <is>
          <t>SO-71948</t>
        </is>
      </c>
      <c r="B20" t="inlineStr">
        <is>
          <t>2026-08-09</t>
        </is>
      </c>
      <c r="C20" t="inlineStr">
        <is>
          <t>Kwame Osei</t>
        </is>
      </c>
      <c r="D20" t="n">
        <v>4686.72</v>
      </c>
    </row>
    <row r="21">
      <c r="A21" t="inlineStr">
        <is>
          <t>SO-71950</t>
        </is>
      </c>
      <c r="B21" t="inlineStr">
        <is>
          <t>2026-08-09</t>
        </is>
      </c>
      <c r="C21" t="inlineStr">
        <is>
          <t>Deborah Ward</t>
        </is>
      </c>
      <c r="D21" t="n">
        <v>8723.66</v>
      </c>
    </row>
    <row r="22">
      <c r="A22" t="inlineStr">
        <is>
          <t>SO-71951</t>
        </is>
      </c>
      <c r="B22" t="inlineStr">
        <is>
          <t>2026-08-12</t>
        </is>
      </c>
      <c r="C22" t="inlineStr">
        <is>
          <t>Kwame Osei</t>
        </is>
      </c>
      <c r="D22" t="n">
        <v>4686.16</v>
      </c>
    </row>
    <row r="23">
      <c r="A23" t="inlineStr">
        <is>
          <t>SO-71955</t>
        </is>
      </c>
      <c r="B23" t="inlineStr">
        <is>
          <t>2026-08-13</t>
        </is>
      </c>
      <c r="C23" t="inlineStr">
        <is>
          <t>Rebecca Brooks</t>
        </is>
      </c>
      <c r="D23" t="n">
        <v>6851.04</v>
      </c>
    </row>
    <row r="24">
      <c r="A24" t="inlineStr">
        <is>
          <t>SO-71956</t>
        </is>
      </c>
      <c r="B24" t="inlineStr">
        <is>
          <t>2026-08-14</t>
        </is>
      </c>
      <c r="C24" t="inlineStr">
        <is>
          <t>Laila Haddad</t>
        </is>
      </c>
      <c r="D24" t="n">
        <v>6172.47</v>
      </c>
    </row>
    <row r="25">
      <c r="A25" t="inlineStr">
        <is>
          <t>SO-71957</t>
        </is>
      </c>
      <c r="B25" t="inlineStr">
        <is>
          <t>2026-08-14</t>
        </is>
      </c>
      <c r="C25" t="inlineStr">
        <is>
          <t>Laila Haddad</t>
        </is>
      </c>
      <c r="D25" t="n">
        <v>4659.34</v>
      </c>
    </row>
    <row r="26">
      <c r="A26" t="inlineStr">
        <is>
          <t>SO-71961</t>
        </is>
      </c>
      <c r="B26" t="inlineStr">
        <is>
          <t>2026-08-15</t>
        </is>
      </c>
      <c r="C26" t="inlineStr">
        <is>
          <t>Daniel Kim</t>
        </is>
      </c>
      <c r="D26" t="n">
        <v>4021.29</v>
      </c>
    </row>
    <row r="27">
      <c r="A27" t="inlineStr">
        <is>
          <t>SO-71964</t>
        </is>
      </c>
      <c r="B27" t="inlineStr">
        <is>
          <t>2026-08-15</t>
        </is>
      </c>
      <c r="C27" t="inlineStr">
        <is>
          <t>Daniel Kim</t>
        </is>
      </c>
      <c r="D27" t="n">
        <v>1792.95</v>
      </c>
    </row>
    <row r="28">
      <c r="A28" t="inlineStr">
        <is>
          <t>SO-71968</t>
        </is>
      </c>
      <c r="B28" t="inlineStr">
        <is>
          <t>2026-08-15</t>
        </is>
      </c>
      <c r="C28" t="inlineStr">
        <is>
          <t>Daniel Kim</t>
        </is>
      </c>
      <c r="D28" t="n">
        <v>7292.74</v>
      </c>
    </row>
    <row r="29">
      <c r="A29" t="inlineStr">
        <is>
          <t>SO-71972</t>
        </is>
      </c>
      <c r="B29" t="inlineStr">
        <is>
          <t>2026-08-15</t>
        </is>
      </c>
      <c r="C29" t="inlineStr">
        <is>
          <t>Rebecca Brooks</t>
        </is>
      </c>
      <c r="D29" t="n">
        <v>6413.05</v>
      </c>
    </row>
    <row r="30">
      <c r="A30" t="inlineStr">
        <is>
          <t>SO-71974</t>
        </is>
      </c>
      <c r="B30" t="inlineStr">
        <is>
          <t>2026-08-17</t>
        </is>
      </c>
      <c r="C30" t="inlineStr">
        <is>
          <t>Rebecca Brooks</t>
        </is>
      </c>
      <c r="D30" t="n">
        <v>2760.41</v>
      </c>
    </row>
    <row r="31">
      <c r="A31" t="inlineStr">
        <is>
          <t>SO-71978</t>
        </is>
      </c>
      <c r="B31" t="inlineStr">
        <is>
          <t>2026-08-17</t>
        </is>
      </c>
      <c r="C31" t="inlineStr">
        <is>
          <t>Rebecca Brooks</t>
        </is>
      </c>
      <c r="D31" t="n">
        <v>6180.55</v>
      </c>
    </row>
    <row r="32">
      <c r="A32" t="inlineStr">
        <is>
          <t>SO-71979</t>
        </is>
      </c>
      <c r="B32" t="inlineStr">
        <is>
          <t>2026-08-18</t>
        </is>
      </c>
      <c r="C32" t="inlineStr">
        <is>
          <t>Daniel Kim</t>
        </is>
      </c>
      <c r="D32" t="n">
        <v>5493.03</v>
      </c>
    </row>
    <row r="33">
      <c r="A33" t="inlineStr">
        <is>
          <t>SO-71982</t>
        </is>
      </c>
      <c r="B33" t="inlineStr">
        <is>
          <t>2026-08-20</t>
        </is>
      </c>
      <c r="C33" t="inlineStr">
        <is>
          <t>Kwame Osei</t>
        </is>
      </c>
      <c r="D33" t="n">
        <v>2374.79</v>
      </c>
    </row>
    <row r="34">
      <c r="A34" t="inlineStr">
        <is>
          <t>SO-71984</t>
        </is>
      </c>
      <c r="B34" t="inlineStr">
        <is>
          <t>2026-08-20</t>
        </is>
      </c>
      <c r="C34" t="inlineStr">
        <is>
          <t>Laila Haddad</t>
        </is>
      </c>
      <c r="D34" t="n">
        <v>2078.07</v>
      </c>
    </row>
    <row r="35">
      <c r="A35" t="inlineStr">
        <is>
          <t>SO-71987</t>
        </is>
      </c>
      <c r="B35" t="inlineStr">
        <is>
          <t>2026-08-20</t>
        </is>
      </c>
      <c r="C35" t="inlineStr">
        <is>
          <t>Laila Haddad</t>
        </is>
      </c>
      <c r="D35" t="n">
        <v>5447.35</v>
      </c>
    </row>
    <row r="36">
      <c r="A36" t="inlineStr">
        <is>
          <t>SO-71989</t>
        </is>
      </c>
      <c r="B36" t="inlineStr">
        <is>
          <t>2026-08-21</t>
        </is>
      </c>
      <c r="C36" t="inlineStr">
        <is>
          <t>Kwame Osei</t>
        </is>
      </c>
      <c r="D36" t="n">
        <v>3254.97</v>
      </c>
    </row>
    <row r="37">
      <c r="A37" t="inlineStr">
        <is>
          <t>SO-71993</t>
        </is>
      </c>
      <c r="B37" t="inlineStr">
        <is>
          <t>2026-08-21</t>
        </is>
      </c>
      <c r="C37" t="inlineStr">
        <is>
          <t>Deborah Ward</t>
        </is>
      </c>
      <c r="D37" t="n">
        <v>8265.1</v>
      </c>
    </row>
    <row r="38">
      <c r="A38" t="inlineStr">
        <is>
          <t>SO-71995</t>
        </is>
      </c>
      <c r="B38" t="inlineStr">
        <is>
          <t>2026-08-22</t>
        </is>
      </c>
      <c r="C38" t="inlineStr">
        <is>
          <t>Rebecca Brooks</t>
        </is>
      </c>
      <c r="D38" t="n">
        <v>1887.63</v>
      </c>
    </row>
    <row r="39">
      <c r="A39" t="inlineStr">
        <is>
          <t>SO-71998</t>
        </is>
      </c>
      <c r="B39" t="inlineStr">
        <is>
          <t>2026-08-22</t>
        </is>
      </c>
      <c r="C39" t="inlineStr">
        <is>
          <t>Rebecca Brooks</t>
        </is>
      </c>
      <c r="D39" t="n">
        <v>1510.91</v>
      </c>
    </row>
    <row r="40">
      <c r="A40" t="inlineStr">
        <is>
          <t>SO-71999</t>
        </is>
      </c>
      <c r="B40" t="inlineStr">
        <is>
          <t>2026-08-22</t>
        </is>
      </c>
      <c r="C40" t="inlineStr">
        <is>
          <t>Daniel Kim</t>
        </is>
      </c>
      <c r="D40" t="n">
        <v>5403.01</v>
      </c>
    </row>
    <row r="41">
      <c r="A41" t="inlineStr">
        <is>
          <t>SO-71999</t>
        </is>
      </c>
      <c r="B41" t="inlineStr">
        <is>
          <t>2026-08-22</t>
        </is>
      </c>
      <c r="C41" t="inlineStr">
        <is>
          <t>Kwame Osei</t>
        </is>
      </c>
      <c r="D41" t="n">
        <v>5403.01</v>
      </c>
    </row>
    <row r="42">
      <c r="A42" t="inlineStr">
        <is>
          <t>SO-72000</t>
        </is>
      </c>
      <c r="B42" t="inlineStr">
        <is>
          <t>2026-08-23</t>
        </is>
      </c>
      <c r="C42" t="inlineStr">
        <is>
          <t>Laila Haddad</t>
        </is>
      </c>
      <c r="D42" t="n">
        <v>5164.34</v>
      </c>
    </row>
    <row r="43">
      <c r="A43" t="inlineStr">
        <is>
          <t>SO-72001</t>
        </is>
      </c>
      <c r="B43" t="inlineStr">
        <is>
          <t>2026-08-24</t>
        </is>
      </c>
      <c r="C43" t="inlineStr">
        <is>
          <t>Laila Haddad</t>
        </is>
      </c>
      <c r="D43" t="n">
        <v>2064.22</v>
      </c>
    </row>
    <row r="44">
      <c r="A44" t="inlineStr">
        <is>
          <t>SO-72005</t>
        </is>
      </c>
      <c r="B44" t="inlineStr">
        <is>
          <t>2026-08-24</t>
        </is>
      </c>
      <c r="C44" t="inlineStr">
        <is>
          <t>Daniel Kim</t>
        </is>
      </c>
      <c r="D44" t="n">
        <v>2101.12</v>
      </c>
    </row>
    <row r="45">
      <c r="A45" t="inlineStr">
        <is>
          <t>SO-72007</t>
        </is>
      </c>
      <c r="B45" t="inlineStr">
        <is>
          <t>2026-08-24</t>
        </is>
      </c>
      <c r="C45" t="inlineStr">
        <is>
          <t>Kwame Osei</t>
        </is>
      </c>
      <c r="D45" t="n">
        <v>5425.56</v>
      </c>
    </row>
    <row r="46">
      <c r="A46" t="inlineStr">
        <is>
          <t>SO-72008</t>
        </is>
      </c>
      <c r="B46" t="inlineStr">
        <is>
          <t>2026-08-25</t>
        </is>
      </c>
      <c r="C46" t="inlineStr">
        <is>
          <t>Daniel Kim</t>
        </is>
      </c>
      <c r="D46" t="n">
        <v>6166.77</v>
      </c>
    </row>
    <row r="47">
      <c r="A47" t="inlineStr">
        <is>
          <t>SO-72012</t>
        </is>
      </c>
      <c r="B47" t="inlineStr">
        <is>
          <t>2026-08-26</t>
        </is>
      </c>
      <c r="C47" t="inlineStr">
        <is>
          <t>Daniel Kim</t>
        </is>
      </c>
      <c r="D47" t="n">
        <v>8310.85</v>
      </c>
    </row>
    <row r="48">
      <c r="A48" t="inlineStr">
        <is>
          <t>SO-72016</t>
        </is>
      </c>
      <c r="B48" t="inlineStr">
        <is>
          <t>2026-08-26</t>
        </is>
      </c>
      <c r="C48" t="inlineStr">
        <is>
          <t>Deborah Ward</t>
        </is>
      </c>
      <c r="D48" t="n">
        <v>9076.6</v>
      </c>
    </row>
    <row r="49">
      <c r="A49" t="inlineStr">
        <is>
          <t>SO-72019</t>
        </is>
      </c>
      <c r="B49" t="inlineStr">
        <is>
          <t>2026-08-27</t>
        </is>
      </c>
      <c r="C49" t="inlineStr">
        <is>
          <t>Kwame Osei</t>
        </is>
      </c>
      <c r="D49" t="n">
        <v>6613.04</v>
      </c>
    </row>
    <row r="50">
      <c r="A50" t="inlineStr">
        <is>
          <t>SO-72021</t>
        </is>
      </c>
      <c r="B50" t="inlineStr">
        <is>
          <t>2026-08-27</t>
        </is>
      </c>
      <c r="C50" t="inlineStr">
        <is>
          <t>Kwame Osei</t>
        </is>
      </c>
      <c r="D50" t="n">
        <v>2983.57</v>
      </c>
    </row>
    <row r="51">
      <c r="A51" t="inlineStr">
        <is>
          <t>SO-72022</t>
        </is>
      </c>
      <c r="B51" t="inlineStr">
        <is>
          <t>2026-08-27</t>
        </is>
      </c>
      <c r="C51" t="inlineStr">
        <is>
          <t>Daniel Kim</t>
        </is>
      </c>
      <c r="D51" t="n">
        <v>7739.93</v>
      </c>
    </row>
    <row r="52">
      <c r="A52" t="inlineStr">
        <is>
          <t>SO-72024</t>
        </is>
      </c>
      <c r="B52" t="inlineStr">
        <is>
          <t>2026-08-27</t>
        </is>
      </c>
      <c r="C52" t="inlineStr">
        <is>
          <t>Kwame Osei</t>
        </is>
      </c>
      <c r="D52" t="n">
        <v>7545.43</v>
      </c>
    </row>
    <row r="53">
      <c r="A53" t="inlineStr">
        <is>
          <t>SO-72026</t>
        </is>
      </c>
      <c r="B53" t="inlineStr">
        <is>
          <t>2026-08-28</t>
        </is>
      </c>
      <c r="C53" t="inlineStr">
        <is>
          <t>Daniel Kim</t>
        </is>
      </c>
      <c r="D53" t="n">
        <v>6853.83</v>
      </c>
    </row>
    <row r="54">
      <c r="A54" t="inlineStr">
        <is>
          <t>SO-72027</t>
        </is>
      </c>
      <c r="B54" t="inlineStr">
        <is>
          <t>2026-08-31</t>
        </is>
      </c>
      <c r="C54" t="inlineStr">
        <is>
          <t>Deborah Ward</t>
        </is>
      </c>
      <c r="D54" t="n">
        <v>6090.19</v>
      </c>
    </row>
    <row r="55">
      <c r="A55" t="inlineStr">
        <is>
          <t>SO-72029</t>
        </is>
      </c>
      <c r="B55" t="inlineStr">
        <is>
          <t>2026-08-31</t>
        </is>
      </c>
      <c r="C55" t="inlineStr">
        <is>
          <t>Daniel Kim</t>
        </is>
      </c>
      <c r="D55" t="n">
        <v>6007.92</v>
      </c>
    </row>
    <row r="56">
      <c r="A56" t="inlineStr">
        <is>
          <t>SO-72033</t>
        </is>
      </c>
      <c r="B56" t="inlineStr">
        <is>
          <t>2026-08-31</t>
        </is>
      </c>
      <c r="C56" t="inlineStr">
        <is>
          <t>Daniel Kim</t>
        </is>
      </c>
      <c r="D56" t="n">
        <v>1523.73</v>
      </c>
    </row>
    <row r="57">
      <c r="A57" t="inlineStr">
        <is>
          <t>SO-72037</t>
        </is>
      </c>
      <c r="B57" t="inlineStr">
        <is>
          <t>2026-08-31</t>
        </is>
      </c>
      <c r="C57" t="inlineStr">
        <is>
          <t>Laila Haddad</t>
        </is>
      </c>
      <c r="D57" t="n">
        <v>4417.29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4" max="4"/>
  </cols>
  <sheetData>
    <row r="1">
      <c r="A1" s="1" t="inlineStr">
        <is>
          <t>refund</t>
        </is>
      </c>
      <c r="B1" s="1" t="inlineStr">
        <is>
          <t>processed</t>
        </is>
      </c>
      <c r="C1" s="1" t="inlineStr">
        <is>
          <t>order</t>
        </is>
      </c>
      <c r="D1" s="1" t="inlineStr">
        <is>
          <t>rep</t>
        </is>
      </c>
      <c r="E1" s="1" t="inlineStr">
        <is>
          <t>refund_amount</t>
        </is>
      </c>
      <c r="F1" s="1" t="inlineStr">
        <is>
          <t>rate_paid</t>
        </is>
      </c>
      <c r="G1" s="1" t="inlineStr">
        <is>
          <t>recovery</t>
        </is>
      </c>
    </row>
    <row r="2">
      <c r="A2" t="inlineStr">
        <is>
          <t>RF-2208</t>
        </is>
      </c>
      <c r="B2" t="inlineStr">
        <is>
          <t>2026-08-04</t>
        </is>
      </c>
      <c r="C2" t="inlineStr">
        <is>
          <t>SO-71880</t>
        </is>
      </c>
      <c r="D2" t="inlineStr">
        <is>
          <t>Deborah Ward</t>
        </is>
      </c>
      <c r="E2" t="n">
        <v>2568.98</v>
      </c>
      <c r="F2" t="n">
        <v>0.05</v>
      </c>
      <c r="G2">
        <f>ROUND(E2*F2,2)</f>
        <v/>
      </c>
    </row>
    <row r="3">
      <c r="A3" t="inlineStr">
        <is>
          <t>RF-2211</t>
        </is>
      </c>
      <c r="B3" t="inlineStr">
        <is>
          <t>2026-08-10</t>
        </is>
      </c>
      <c r="C3" t="inlineStr">
        <is>
          <t>SO-71939</t>
        </is>
      </c>
      <c r="D3" t="inlineStr">
        <is>
          <t>Daniel Kim</t>
        </is>
      </c>
      <c r="E3" t="n">
        <v>3597.73</v>
      </c>
      <c r="F3" t="n">
        <v>0.03</v>
      </c>
      <c r="G3">
        <f>ROUND(E3*F3,2)</f>
        <v/>
      </c>
    </row>
    <row r="4">
      <c r="A4" t="inlineStr">
        <is>
          <t>RF-2214</t>
        </is>
      </c>
      <c r="B4" t="inlineStr">
        <is>
          <t>2026-08-22</t>
        </is>
      </c>
      <c r="C4" t="inlineStr">
        <is>
          <t>SO-71827</t>
        </is>
      </c>
      <c r="D4" t="inlineStr">
        <is>
          <t>Laila Haddad</t>
        </is>
      </c>
      <c r="E4" t="n">
        <v>9146.9</v>
      </c>
      <c r="F4" t="n">
        <v>0.03</v>
      </c>
      <c r="G4">
        <f>ROUND(E4*F4,2)</f>
        <v/>
      </c>
    </row>
    <row r="5">
      <c r="A5" t="inlineStr">
        <is>
          <t>RF-2217</t>
        </is>
      </c>
      <c r="B5" t="inlineStr">
        <is>
          <t>2026-08-23</t>
        </is>
      </c>
      <c r="C5" t="inlineStr">
        <is>
          <t>SO-71888</t>
        </is>
      </c>
      <c r="D5" t="inlineStr">
        <is>
          <t>Rebecca Brooks</t>
        </is>
      </c>
      <c r="E5" t="n">
        <v>4131.72</v>
      </c>
      <c r="F5" t="n">
        <v>0.08</v>
      </c>
      <c r="G5">
        <f>ROUND(E5*F5,2)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