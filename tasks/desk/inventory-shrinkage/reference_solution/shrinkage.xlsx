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Dam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Category</t>
        </is>
      </c>
      <c r="B1" s="1" t="inlineStr">
        <is>
          <t>Net shrinkage at average cost</t>
        </is>
      </c>
    </row>
    <row r="2">
      <c r="A2" t="inlineStr">
        <is>
          <t>Dog Food</t>
        </is>
      </c>
      <c r="B2">
        <f>SUMIF(Detail!$C$2:$C$56,A2,Detail!$H$2:$H$56)</f>
        <v/>
      </c>
    </row>
    <row r="3">
      <c r="A3" t="inlineStr">
        <is>
          <t>Cat Food</t>
        </is>
      </c>
      <c r="B3">
        <f>SUMIF(Detail!$C$2:$C$56,A3,Detail!$H$2:$H$56)</f>
        <v/>
      </c>
    </row>
    <row r="4">
      <c r="A4" t="inlineStr">
        <is>
          <t>Treats &amp; Chews</t>
        </is>
      </c>
      <c r="B4">
        <f>SUMIF(Detail!$C$2:$C$56,A4,Detail!$H$2:$H$56)</f>
        <v/>
      </c>
    </row>
    <row r="5">
      <c r="A5" t="inlineStr">
        <is>
          <t>Toys</t>
        </is>
      </c>
      <c r="B5">
        <f>SUMIF(Detail!$C$2:$C$56,A5,Detail!$H$2:$H$56)</f>
        <v/>
      </c>
    </row>
    <row r="6">
      <c r="A6" t="inlineStr">
        <is>
          <t>Aquarium</t>
        </is>
      </c>
      <c r="B6">
        <f>SUMIF(Detail!$C$2:$C$56,A6,Detail!$H$2:$H$56)</f>
        <v/>
      </c>
    </row>
    <row r="7">
      <c r="A7" t="inlineStr">
        <is>
          <t>Grooming</t>
        </is>
      </c>
      <c r="B7">
        <f>SUMIF(Detail!$C$2:$C$56,A7,Detail!$H$2:$H$56)</f>
        <v/>
      </c>
    </row>
    <row r="8">
      <c r="A8" t="inlineStr">
        <is>
          <t>Total net shrinkage</t>
        </is>
      </c>
      <c r="B8">
        <f>SUM(B2:B7)</f>
        <v/>
      </c>
    </row>
    <row r="9"/>
    <row r="10">
      <c r="A10" t="inlineStr">
        <is>
          <t>Damaged, set aside before the count (not shrinkage)</t>
        </is>
      </c>
      <c r="B10">
        <f>SUM(Damage!E2:E5)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2" customWidth="1" min="2" max="2"/>
    <col width="16" customWidth="1" min="3" max="3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Expected at count</t>
        </is>
      </c>
      <c r="E1" s="1" t="inlineStr">
        <is>
          <t>Counted</t>
        </is>
      </c>
      <c r="F1" s="1" t="inlineStr">
        <is>
          <t>Avg cost</t>
        </is>
      </c>
      <c r="G1" s="1" t="inlineStr">
        <is>
          <t>Units short</t>
        </is>
      </c>
      <c r="H1" s="1" t="inlineStr">
        <is>
          <t>Shrink value</t>
        </is>
      </c>
    </row>
    <row r="2">
      <c r="A2" t="inlineStr">
        <is>
          <t>DO-1040</t>
        </is>
      </c>
      <c r="B2" t="inlineStr">
        <is>
          <t>Kibble Grain-Free Salmon 24lb</t>
        </is>
      </c>
      <c r="C2" t="inlineStr">
        <is>
          <t>Dog Food</t>
        </is>
      </c>
      <c r="D2" t="n">
        <v>37</v>
      </c>
      <c r="E2" t="n">
        <v>36</v>
      </c>
      <c r="F2" t="n">
        <v>41.63</v>
      </c>
      <c r="G2">
        <f>IF(E2="","not counted",D2-E2)</f>
        <v/>
      </c>
      <c r="H2">
        <f>IF(E2="",0,G2*F2)</f>
        <v/>
      </c>
    </row>
    <row r="3">
      <c r="A3" t="inlineStr">
        <is>
          <t>DO-1047</t>
        </is>
      </c>
      <c r="B3" t="inlineStr">
        <is>
          <t>Kibble Lamb &amp; Rice 30lb</t>
        </is>
      </c>
      <c r="C3" t="inlineStr">
        <is>
          <t>Dog Food</t>
        </is>
      </c>
      <c r="D3" t="n">
        <v>25</v>
      </c>
      <c r="E3" t="n">
        <v>21</v>
      </c>
      <c r="F3" t="n">
        <v>36.46</v>
      </c>
      <c r="G3">
        <f>IF(E3="","not counted",D3-E3)</f>
        <v/>
      </c>
      <c r="H3">
        <f>IF(E3="",0,G3*F3)</f>
        <v/>
      </c>
    </row>
    <row r="4">
      <c r="A4" t="inlineStr">
        <is>
          <t>DO-1054</t>
        </is>
      </c>
      <c r="B4" t="inlineStr">
        <is>
          <t>Canned Beef Stew 13oz</t>
        </is>
      </c>
      <c r="C4" t="inlineStr">
        <is>
          <t>Dog Food</t>
        </is>
      </c>
      <c r="D4" t="n">
        <v>41</v>
      </c>
      <c r="E4" t="n">
        <v>43</v>
      </c>
      <c r="F4" t="n">
        <v>1.95</v>
      </c>
      <c r="G4">
        <f>IF(E4="","not counted",D4-E4)</f>
        <v/>
      </c>
      <c r="H4">
        <f>IF(E4="",0,G4*F4)</f>
        <v/>
      </c>
    </row>
    <row r="5">
      <c r="A5" t="inlineStr">
        <is>
          <t>DO-1061</t>
        </is>
      </c>
      <c r="B5" t="inlineStr">
        <is>
          <t>Senior Formula 15lb</t>
        </is>
      </c>
      <c r="C5" t="inlineStr">
        <is>
          <t>Dog Food</t>
        </is>
      </c>
      <c r="D5" t="n">
        <v>12</v>
      </c>
      <c r="E5" t="n">
        <v>11</v>
      </c>
      <c r="F5" t="n">
        <v>29.88</v>
      </c>
      <c r="G5">
        <f>IF(E5="","not counted",D5-E5)</f>
        <v/>
      </c>
      <c r="H5">
        <f>IF(E5="",0,G5*F5)</f>
        <v/>
      </c>
    </row>
    <row r="6">
      <c r="A6" t="inlineStr">
        <is>
          <t>DO-1068</t>
        </is>
      </c>
      <c r="B6" t="inlineStr">
        <is>
          <t>Puppy Chicken 12lb</t>
        </is>
      </c>
      <c r="C6" t="inlineStr">
        <is>
          <t>Dog Food</t>
        </is>
      </c>
      <c r="D6" t="n">
        <v>20</v>
      </c>
      <c r="E6" t="n">
        <v>20</v>
      </c>
      <c r="F6" t="n">
        <v>22.73</v>
      </c>
      <c r="G6">
        <f>IF(E6="","not counted",D6-E6)</f>
        <v/>
      </c>
      <c r="H6">
        <f>IF(E6="",0,G6*F6)</f>
        <v/>
      </c>
    </row>
    <row r="7">
      <c r="A7" t="inlineStr">
        <is>
          <t>DO-1075</t>
        </is>
      </c>
      <c r="B7" t="inlineStr">
        <is>
          <t>Raw Frozen Patties 6lb</t>
        </is>
      </c>
      <c r="C7" t="inlineStr">
        <is>
          <t>Dog Food</t>
        </is>
      </c>
      <c r="D7" t="n">
        <v>31</v>
      </c>
      <c r="E7" t="n">
        <v>31</v>
      </c>
      <c r="F7" t="n">
        <v>25.53</v>
      </c>
      <c r="G7">
        <f>IF(E7="","not counted",D7-E7)</f>
        <v/>
      </c>
      <c r="H7">
        <f>IF(E7="",0,G7*F7)</f>
        <v/>
      </c>
    </row>
    <row r="8">
      <c r="A8" t="inlineStr">
        <is>
          <t>DO-1082</t>
        </is>
      </c>
      <c r="B8" t="inlineStr">
        <is>
          <t>Limited Ingredient Duck 22lb</t>
        </is>
      </c>
      <c r="C8" t="inlineStr">
        <is>
          <t>Dog Food</t>
        </is>
      </c>
      <c r="D8" t="n">
        <v>36</v>
      </c>
      <c r="E8" t="n">
        <v>36</v>
      </c>
      <c r="F8" t="n">
        <v>47.57</v>
      </c>
      <c r="G8">
        <f>IF(E8="","not counted",D8-E8)</f>
        <v/>
      </c>
      <c r="H8">
        <f>IF(E8="",0,G8*F8)</f>
        <v/>
      </c>
    </row>
    <row r="9">
      <c r="A9" t="inlineStr">
        <is>
          <t>DO-1089</t>
        </is>
      </c>
      <c r="B9" t="inlineStr">
        <is>
          <t>Canned Turkey Pate 13oz</t>
        </is>
      </c>
      <c r="C9" t="inlineStr">
        <is>
          <t>Dog Food</t>
        </is>
      </c>
      <c r="D9" t="n">
        <v>11</v>
      </c>
      <c r="E9" t="n">
        <v>11</v>
      </c>
      <c r="F9" t="n">
        <v>2.13</v>
      </c>
      <c r="G9">
        <f>IF(E9="","not counted",D9-E9)</f>
        <v/>
      </c>
      <c r="H9">
        <f>IF(E9="",0,G9*F9)</f>
        <v/>
      </c>
    </row>
    <row r="10">
      <c r="A10" t="inlineStr">
        <is>
          <t>DO-1096</t>
        </is>
      </c>
      <c r="B10" t="inlineStr">
        <is>
          <t>Freeze-Dried Topper 8oz</t>
        </is>
      </c>
      <c r="C10" t="inlineStr">
        <is>
          <t>Dog Food</t>
        </is>
      </c>
      <c r="D10" t="n">
        <v>16</v>
      </c>
      <c r="E10" t="n">
        <v>15</v>
      </c>
      <c r="F10" t="n">
        <v>9.42</v>
      </c>
      <c r="G10">
        <f>IF(E10="","not counted",D10-E10)</f>
        <v/>
      </c>
      <c r="H10">
        <f>IF(E10="",0,G10*F10)</f>
        <v/>
      </c>
    </row>
    <row r="11">
      <c r="A11" t="inlineStr">
        <is>
          <t>DO-1103</t>
        </is>
      </c>
      <c r="B11" t="inlineStr">
        <is>
          <t>Weight Control 28lb</t>
        </is>
      </c>
      <c r="C11" t="inlineStr">
        <is>
          <t>Dog Food</t>
        </is>
      </c>
      <c r="D11" t="n">
        <v>32</v>
      </c>
      <c r="E11" t="n">
        <v>32</v>
      </c>
      <c r="F11" t="n">
        <v>36.13</v>
      </c>
      <c r="G11">
        <f>IF(E11="","not counted",D11-E11)</f>
        <v/>
      </c>
      <c r="H11">
        <f>IF(E11="",0,G11*F11)</f>
        <v/>
      </c>
    </row>
    <row r="12">
      <c r="A12" t="inlineStr">
        <is>
          <t>DO-1110</t>
        </is>
      </c>
      <c r="B12" t="inlineStr">
        <is>
          <t>Large Breed Chicken 34lb</t>
        </is>
      </c>
      <c r="C12" t="inlineStr">
        <is>
          <t>Dog Food</t>
        </is>
      </c>
      <c r="D12" t="n">
        <v>5</v>
      </c>
      <c r="E12" t="n">
        <v>6</v>
      </c>
      <c r="F12" t="n">
        <v>45.9</v>
      </c>
      <c r="G12">
        <f>IF(E12="","not counted",D12-E12)</f>
        <v/>
      </c>
      <c r="H12">
        <f>IF(E12="",0,G12*F12)</f>
        <v/>
      </c>
    </row>
    <row r="13">
      <c r="A13" t="inlineStr">
        <is>
          <t>CA-1140</t>
        </is>
      </c>
      <c r="B13" t="inlineStr">
        <is>
          <t>Indoor Adult 16lb</t>
        </is>
      </c>
      <c r="C13" t="inlineStr">
        <is>
          <t>Cat Food</t>
        </is>
      </c>
      <c r="D13" t="n">
        <v>39</v>
      </c>
      <c r="E13" t="n">
        <v>41</v>
      </c>
      <c r="F13" t="n">
        <v>27</v>
      </c>
      <c r="G13">
        <f>IF(E13="","not counted",D13-E13)</f>
        <v/>
      </c>
      <c r="H13">
        <f>IF(E13="",0,G13*F13)</f>
        <v/>
      </c>
    </row>
    <row r="14">
      <c r="A14" t="inlineStr">
        <is>
          <t>CA-1147</t>
        </is>
      </c>
      <c r="B14" t="inlineStr">
        <is>
          <t>Canned Tuna Flakes 3oz</t>
        </is>
      </c>
      <c r="C14" t="inlineStr">
        <is>
          <t>Cat Food</t>
        </is>
      </c>
      <c r="D14" t="n">
        <v>19</v>
      </c>
      <c r="E14" t="n">
        <v>19</v>
      </c>
      <c r="F14" t="n">
        <v>0.73</v>
      </c>
      <c r="G14">
        <f>IF(E14="","not counted",D14-E14)</f>
        <v/>
      </c>
      <c r="H14">
        <f>IF(E14="",0,G14*F14)</f>
        <v/>
      </c>
    </row>
    <row r="15">
      <c r="A15" t="inlineStr">
        <is>
          <t>CA-1154</t>
        </is>
      </c>
      <c r="B15" t="inlineStr">
        <is>
          <t>Kitten Chicken 7lb</t>
        </is>
      </c>
      <c r="C15" t="inlineStr">
        <is>
          <t>Cat Food</t>
        </is>
      </c>
      <c r="D15" t="n">
        <v>13</v>
      </c>
      <c r="E15" t="n">
        <v>12</v>
      </c>
      <c r="F15" t="n">
        <v>17.11</v>
      </c>
      <c r="G15">
        <f>IF(E15="","not counted",D15-E15)</f>
        <v/>
      </c>
      <c r="H15">
        <f>IF(E15="",0,G15*F15)</f>
        <v/>
      </c>
    </row>
    <row r="16">
      <c r="A16" t="inlineStr">
        <is>
          <t>CA-1161</t>
        </is>
      </c>
      <c r="B16" t="inlineStr">
        <is>
          <t>Grain-Free Whitefish 11lb</t>
        </is>
      </c>
      <c r="C16" t="inlineStr">
        <is>
          <t>Cat Food</t>
        </is>
      </c>
      <c r="D16" t="n">
        <v>49</v>
      </c>
      <c r="E16" t="n">
        <v>46</v>
      </c>
      <c r="F16" t="n">
        <v>25.91</v>
      </c>
      <c r="G16">
        <f>IF(E16="","not counted",D16-E16)</f>
        <v/>
      </c>
      <c r="H16">
        <f>IF(E16="",0,G16*F16)</f>
        <v/>
      </c>
    </row>
    <row r="17">
      <c r="A17" t="inlineStr">
        <is>
          <t>CA-1168</t>
        </is>
      </c>
      <c r="B17" t="inlineStr">
        <is>
          <t>Pouch Variety 12pk</t>
        </is>
      </c>
      <c r="C17" t="inlineStr">
        <is>
          <t>Cat Food</t>
        </is>
      </c>
      <c r="D17" t="n">
        <v>9</v>
      </c>
      <c r="E17" t="n">
        <v>9</v>
      </c>
      <c r="F17" t="n">
        <v>8.06</v>
      </c>
      <c r="G17">
        <f>IF(E17="","not counted",D17-E17)</f>
        <v/>
      </c>
      <c r="H17">
        <f>IF(E17="",0,G17*F17)</f>
        <v/>
      </c>
    </row>
    <row r="18">
      <c r="A18" t="inlineStr">
        <is>
          <t>CA-1175</t>
        </is>
      </c>
      <c r="B18" t="inlineStr">
        <is>
          <t>Hairball Formula 14lb</t>
        </is>
      </c>
      <c r="C18" t="inlineStr">
        <is>
          <t>Cat Food</t>
        </is>
      </c>
      <c r="D18" t="n">
        <v>5</v>
      </c>
      <c r="E18" t="n">
        <v>6</v>
      </c>
      <c r="F18" t="n">
        <v>24.22</v>
      </c>
      <c r="G18">
        <f>IF(E18="","not counted",D18-E18)</f>
        <v/>
      </c>
      <c r="H18">
        <f>IF(E18="",0,G18*F18)</f>
        <v/>
      </c>
    </row>
    <row r="19">
      <c r="A19" t="inlineStr">
        <is>
          <t>CA-1182</t>
        </is>
      </c>
      <c r="B19" t="inlineStr">
        <is>
          <t>Canned Salmon Pate 5.5oz</t>
        </is>
      </c>
      <c r="C19" t="inlineStr">
        <is>
          <t>Cat Food</t>
        </is>
      </c>
      <c r="D19" t="n">
        <v>23</v>
      </c>
      <c r="E19" t="n">
        <v>23</v>
      </c>
      <c r="F19" t="n">
        <v>1.22</v>
      </c>
      <c r="G19">
        <f>IF(E19="","not counted",D19-E19)</f>
        <v/>
      </c>
      <c r="H19">
        <f>IF(E19="",0,G19*F19)</f>
        <v/>
      </c>
    </row>
    <row r="20">
      <c r="A20" t="inlineStr">
        <is>
          <t>CA-1189</t>
        </is>
      </c>
      <c r="B20" t="inlineStr">
        <is>
          <t>Urinary Care 8lb</t>
        </is>
      </c>
      <c r="C20" t="inlineStr">
        <is>
          <t>Cat Food</t>
        </is>
      </c>
      <c r="D20" t="n">
        <v>24</v>
      </c>
      <c r="E20" t="n">
        <v>24</v>
      </c>
      <c r="F20" t="n">
        <v>22.1</v>
      </c>
      <c r="G20">
        <f>IF(E20="","not counted",D20-E20)</f>
        <v/>
      </c>
      <c r="H20">
        <f>IF(E20="",0,G20*F20)</f>
        <v/>
      </c>
    </row>
    <row r="21">
      <c r="A21" t="inlineStr">
        <is>
          <t>CA-1196</t>
        </is>
      </c>
      <c r="B21" t="inlineStr">
        <is>
          <t>Freeze-Dried Minnows 1oz</t>
        </is>
      </c>
      <c r="C21" t="inlineStr">
        <is>
          <t>Cat Food</t>
        </is>
      </c>
      <c r="D21" t="n">
        <v>15</v>
      </c>
      <c r="E21" t="n">
        <v>12</v>
      </c>
      <c r="F21" t="n">
        <v>3.99</v>
      </c>
      <c r="G21">
        <f>IF(E21="","not counted",D21-E21)</f>
        <v/>
      </c>
      <c r="H21">
        <f>IF(E21="",0,G21*F21)</f>
        <v/>
      </c>
    </row>
    <row r="22">
      <c r="A22" t="inlineStr">
        <is>
          <t>TR-1240</t>
        </is>
      </c>
      <c r="B22" t="inlineStr">
        <is>
          <t>Bully Stick 12in</t>
        </is>
      </c>
      <c r="C22" t="inlineStr">
        <is>
          <t>Treats &amp; Chews</t>
        </is>
      </c>
      <c r="D22" t="n">
        <v>36</v>
      </c>
      <c r="E22" t="n">
        <v>36</v>
      </c>
      <c r="F22" t="n">
        <v>3.88</v>
      </c>
      <c r="G22">
        <f>IF(E22="","not counted",D22-E22)</f>
        <v/>
      </c>
      <c r="H22">
        <f>IF(E22="",0,G22*F22)</f>
        <v/>
      </c>
    </row>
    <row r="23">
      <c r="A23" t="inlineStr">
        <is>
          <t>TR-1247</t>
        </is>
      </c>
      <c r="B23" t="inlineStr">
        <is>
          <t>Dental Chews 30ct</t>
        </is>
      </c>
      <c r="C23" t="inlineStr">
        <is>
          <t>Treats &amp; Chews</t>
        </is>
      </c>
      <c r="D23" t="n">
        <v>22</v>
      </c>
      <c r="E23" t="n">
        <v>21</v>
      </c>
      <c r="F23" t="n">
        <v>13.93</v>
      </c>
      <c r="G23">
        <f>IF(E23="","not counted",D23-E23)</f>
        <v/>
      </c>
      <c r="H23">
        <f>IF(E23="",0,G23*F23)</f>
        <v/>
      </c>
    </row>
    <row r="24">
      <c r="A24" t="inlineStr">
        <is>
          <t>TR-1254</t>
        </is>
      </c>
      <c r="B24" t="inlineStr">
        <is>
          <t>Training Bites 16oz</t>
        </is>
      </c>
      <c r="C24" t="inlineStr">
        <is>
          <t>Treats &amp; Chews</t>
        </is>
      </c>
      <c r="D24" t="n">
        <v>13</v>
      </c>
      <c r="E24" t="n">
        <v>13</v>
      </c>
      <c r="F24" t="n">
        <v>6.82</v>
      </c>
      <c r="G24">
        <f>IF(E24="","not counted",D24-E24)</f>
        <v/>
      </c>
      <c r="H24">
        <f>IF(E24="",0,G24*F24)</f>
        <v/>
      </c>
    </row>
    <row r="25">
      <c r="A25" t="inlineStr">
        <is>
          <t>TR-1261</t>
        </is>
      </c>
      <c r="B25" t="inlineStr">
        <is>
          <t>Yak Cheese Chew L</t>
        </is>
      </c>
      <c r="C25" t="inlineStr">
        <is>
          <t>Treats &amp; Chews</t>
        </is>
      </c>
      <c r="D25" t="n">
        <v>15</v>
      </c>
      <c r="E25" t="n">
        <v>16</v>
      </c>
      <c r="F25" t="n">
        <v>7.69</v>
      </c>
      <c r="G25">
        <f>IF(E25="","not counted",D25-E25)</f>
        <v/>
      </c>
      <c r="H25">
        <f>IF(E25="",0,G25*F25)</f>
        <v/>
      </c>
    </row>
    <row r="26">
      <c r="A26" t="inlineStr">
        <is>
          <t>TR-1268</t>
        </is>
      </c>
      <c r="B26" t="inlineStr">
        <is>
          <t>Salmon Skins 4oz</t>
        </is>
      </c>
      <c r="C26" t="inlineStr">
        <is>
          <t>Treats &amp; Chews</t>
        </is>
      </c>
      <c r="D26" t="n">
        <v>40</v>
      </c>
      <c r="E26" t="n">
        <v>36</v>
      </c>
      <c r="F26" t="n">
        <v>5.15</v>
      </c>
      <c r="G26">
        <f>IF(E26="","not counted",D26-E26)</f>
        <v/>
      </c>
      <c r="H26">
        <f>IF(E26="",0,G26*F26)</f>
        <v/>
      </c>
    </row>
    <row r="27">
      <c r="A27" t="inlineStr">
        <is>
          <t>TR-1275</t>
        </is>
      </c>
      <c r="B27" t="inlineStr">
        <is>
          <t>Beef Trachea 6in</t>
        </is>
      </c>
      <c r="C27" t="inlineStr">
        <is>
          <t>Treats &amp; Chews</t>
        </is>
      </c>
      <c r="D27" t="n">
        <v>39</v>
      </c>
      <c r="E27" t="n">
        <v>40</v>
      </c>
      <c r="F27" t="n">
        <v>2.49</v>
      </c>
      <c r="G27">
        <f>IF(E27="","not counted",D27-E27)</f>
        <v/>
      </c>
      <c r="H27">
        <f>IF(E27="",0,G27*F27)</f>
        <v/>
      </c>
    </row>
    <row r="28">
      <c r="A28" t="inlineStr">
        <is>
          <t>TR-1282</t>
        </is>
      </c>
      <c r="B28" t="inlineStr">
        <is>
          <t>Cat Crunchy Treats 6oz</t>
        </is>
      </c>
      <c r="C28" t="inlineStr">
        <is>
          <t>Treats &amp; Chews</t>
        </is>
      </c>
      <c r="D28" t="n">
        <v>44</v>
      </c>
      <c r="E28" t="n">
        <v>40</v>
      </c>
      <c r="F28" t="n">
        <v>2.28</v>
      </c>
      <c r="G28">
        <f>IF(E28="","not counted",D28-E28)</f>
        <v/>
      </c>
      <c r="H28">
        <f>IF(E28="",0,G28*F28)</f>
        <v/>
      </c>
    </row>
    <row r="29">
      <c r="A29" t="inlineStr">
        <is>
          <t>TR-1289</t>
        </is>
      </c>
      <c r="B29" t="inlineStr">
        <is>
          <t>Peanut Butter Biscuits 2lb</t>
        </is>
      </c>
      <c r="C29" t="inlineStr">
        <is>
          <t>Treats &amp; Chews</t>
        </is>
      </c>
      <c r="D29" t="n">
        <v>32</v>
      </c>
      <c r="E29" t="n">
        <v>32</v>
      </c>
      <c r="F29" t="n">
        <v>5.61</v>
      </c>
      <c r="G29">
        <f>IF(E29="","not counted",D29-E29)</f>
        <v/>
      </c>
      <c r="H29">
        <f>IF(E29="",0,G29*F29)</f>
        <v/>
      </c>
    </row>
    <row r="30">
      <c r="A30" t="inlineStr">
        <is>
          <t>TR-1296</t>
        </is>
      </c>
      <c r="B30" t="inlineStr">
        <is>
          <t>Elk Antler M</t>
        </is>
      </c>
      <c r="C30" t="inlineStr">
        <is>
          <t>Treats &amp; Chews</t>
        </is>
      </c>
      <c r="D30" t="n">
        <v>14</v>
      </c>
      <c r="E30" t="n">
        <v>10</v>
      </c>
      <c r="F30" t="n">
        <v>11.38</v>
      </c>
      <c r="G30">
        <f>IF(E30="","not counted",D30-E30)</f>
        <v/>
      </c>
      <c r="H30">
        <f>IF(E30="",0,G30*F30)</f>
        <v/>
      </c>
    </row>
    <row r="31">
      <c r="A31" t="inlineStr">
        <is>
          <t>TR-1303</t>
        </is>
      </c>
      <c r="B31" t="inlineStr">
        <is>
          <t>Pig Ear Single</t>
        </is>
      </c>
      <c r="C31" t="inlineStr">
        <is>
          <t>Treats &amp; Chews</t>
        </is>
      </c>
      <c r="D31" t="n">
        <v>22</v>
      </c>
      <c r="E31" t="n">
        <v>18</v>
      </c>
      <c r="F31" t="n">
        <v>1.41</v>
      </c>
      <c r="G31">
        <f>IF(E31="","not counted",D31-E31)</f>
        <v/>
      </c>
      <c r="H31">
        <f>IF(E31="",0,G31*F31)</f>
        <v/>
      </c>
    </row>
    <row r="32">
      <c r="A32" t="inlineStr">
        <is>
          <t>TR-1310</t>
        </is>
      </c>
      <c r="B32" t="inlineStr">
        <is>
          <t>Jerky Chicken Strips 10oz</t>
        </is>
      </c>
      <c r="C32" t="inlineStr">
        <is>
          <t>Treats &amp; Chews</t>
        </is>
      </c>
      <c r="D32" t="n">
        <v>13</v>
      </c>
      <c r="E32" t="n">
        <v>9</v>
      </c>
      <c r="F32" t="n">
        <v>8.27</v>
      </c>
      <c r="G32">
        <f>IF(E32="","not counted",D32-E32)</f>
        <v/>
      </c>
      <c r="H32">
        <f>IF(E32="",0,G32*F32)</f>
        <v/>
      </c>
    </row>
    <row r="33">
      <c r="A33" t="inlineStr">
        <is>
          <t>TO-1340</t>
        </is>
      </c>
      <c r="B33" t="inlineStr">
        <is>
          <t>Rope Tug Large</t>
        </is>
      </c>
      <c r="C33" t="inlineStr">
        <is>
          <t>Toys</t>
        </is>
      </c>
      <c r="D33" t="n">
        <v>42</v>
      </c>
      <c r="E33" t="n">
        <v>43</v>
      </c>
      <c r="F33" t="n">
        <v>4.79</v>
      </c>
      <c r="G33">
        <f>IF(E33="","not counted",D33-E33)</f>
        <v/>
      </c>
      <c r="H33">
        <f>IF(E33="",0,G33*F33)</f>
        <v/>
      </c>
    </row>
    <row r="34">
      <c r="A34" t="inlineStr">
        <is>
          <t>TO-1347</t>
        </is>
      </c>
      <c r="B34" t="inlineStr">
        <is>
          <t>Squeaky Plush Fox</t>
        </is>
      </c>
      <c r="C34" t="inlineStr">
        <is>
          <t>Toys</t>
        </is>
      </c>
      <c r="D34" t="n">
        <v>27</v>
      </c>
      <c r="E34" t="n">
        <v>24</v>
      </c>
      <c r="F34" t="n">
        <v>5.48</v>
      </c>
      <c r="G34">
        <f>IF(E34="","not counted",D34-E34)</f>
        <v/>
      </c>
      <c r="H34">
        <f>IF(E34="",0,G34*F34)</f>
        <v/>
      </c>
    </row>
    <row r="35">
      <c r="A35" t="inlineStr">
        <is>
          <t>TO-1354</t>
        </is>
      </c>
      <c r="B35" t="inlineStr">
        <is>
          <t>Rubber Chew Ball M</t>
        </is>
      </c>
      <c r="C35" t="inlineStr">
        <is>
          <t>Toys</t>
        </is>
      </c>
      <c r="D35" t="n">
        <v>32</v>
      </c>
      <c r="E35" t="n">
        <v>32</v>
      </c>
      <c r="F35" t="n">
        <v>6.17</v>
      </c>
      <c r="G35">
        <f>IF(E35="","not counted",D35-E35)</f>
        <v/>
      </c>
      <c r="H35">
        <f>IF(E35="",0,G35*F35)</f>
        <v/>
      </c>
    </row>
    <row r="36">
      <c r="A36" t="inlineStr">
        <is>
          <t>TO-1361</t>
        </is>
      </c>
      <c r="B36" t="inlineStr">
        <is>
          <t>Cat Wand Feather</t>
        </is>
      </c>
      <c r="C36" t="inlineStr">
        <is>
          <t>Toys</t>
        </is>
      </c>
      <c r="D36" t="n">
        <v>41</v>
      </c>
      <c r="E36" t="n">
        <v>37</v>
      </c>
      <c r="F36" t="n">
        <v>2.64</v>
      </c>
      <c r="G36">
        <f>IF(E36="","not counted",D36-E36)</f>
        <v/>
      </c>
      <c r="H36">
        <f>IF(E36="",0,G36*F36)</f>
        <v/>
      </c>
    </row>
    <row r="37">
      <c r="A37" t="inlineStr">
        <is>
          <t>TO-1368</t>
        </is>
      </c>
      <c r="B37" t="inlineStr">
        <is>
          <t>Puzzle Feeder Level 2</t>
        </is>
      </c>
      <c r="C37" t="inlineStr">
        <is>
          <t>Toys</t>
        </is>
      </c>
      <c r="D37" t="n">
        <v>20</v>
      </c>
      <c r="E37" t="n">
        <v>18</v>
      </c>
      <c r="F37" t="n">
        <v>11.87</v>
      </c>
      <c r="G37">
        <f>IF(E37="","not counted",D37-E37)</f>
        <v/>
      </c>
      <c r="H37">
        <f>IF(E37="",0,G37*F37)</f>
        <v/>
      </c>
    </row>
    <row r="38">
      <c r="A38" t="inlineStr">
        <is>
          <t>TO-1375</t>
        </is>
      </c>
      <c r="B38" t="inlineStr">
        <is>
          <t>Catnip Mice 3pk</t>
        </is>
      </c>
      <c r="C38" t="inlineStr">
        <is>
          <t>Toys</t>
        </is>
      </c>
      <c r="D38" t="n">
        <v>5</v>
      </c>
      <c r="E38" t="n">
        <v>5</v>
      </c>
      <c r="F38" t="n">
        <v>1.87</v>
      </c>
      <c r="G38">
        <f>IF(E38="","not counted",D38-E38)</f>
        <v/>
      </c>
      <c r="H38">
        <f>IF(E38="",0,G38*F38)</f>
        <v/>
      </c>
    </row>
    <row r="39">
      <c r="A39" t="inlineStr">
        <is>
          <t>TO-1382</t>
        </is>
      </c>
      <c r="B39" t="inlineStr">
        <is>
          <t>Fetch Launcher</t>
        </is>
      </c>
      <c r="C39" t="inlineStr">
        <is>
          <t>Toys</t>
        </is>
      </c>
      <c r="D39" t="n">
        <v>43</v>
      </c>
      <c r="E39" t="n">
        <v>41</v>
      </c>
      <c r="F39" t="n">
        <v>14.22</v>
      </c>
      <c r="G39">
        <f>IF(E39="","not counted",D39-E39)</f>
        <v/>
      </c>
      <c r="H39">
        <f>IF(E39="",0,G39*F39)</f>
        <v/>
      </c>
    </row>
    <row r="40">
      <c r="A40" t="inlineStr">
        <is>
          <t>TO-1389</t>
        </is>
      </c>
      <c r="B40" t="inlineStr">
        <is>
          <t>Laser Pointer</t>
        </is>
      </c>
      <c r="C40" t="inlineStr">
        <is>
          <t>Toys</t>
        </is>
      </c>
      <c r="D40" t="n">
        <v>29</v>
      </c>
      <c r="E40" t="n">
        <v>31</v>
      </c>
      <c r="F40" t="n">
        <v>4.3</v>
      </c>
      <c r="G40">
        <f>IF(E40="","not counted",D40-E40)</f>
        <v/>
      </c>
      <c r="H40">
        <f>IF(E40="",0,G40*F40)</f>
        <v/>
      </c>
    </row>
    <row r="41">
      <c r="A41" t="inlineStr">
        <is>
          <t>AQ-1440</t>
        </is>
      </c>
      <c r="B41" t="inlineStr">
        <is>
          <t>20 Gallon Tank Kit</t>
        </is>
      </c>
      <c r="C41" t="inlineStr">
        <is>
          <t>Aquarium</t>
        </is>
      </c>
      <c r="D41" t="n">
        <v>29</v>
      </c>
      <c r="F41" t="n">
        <v>65.81</v>
      </c>
      <c r="G41">
        <f>IF(E41="","not counted",D41-E41)</f>
        <v/>
      </c>
      <c r="H41">
        <f>IF(E41="",0,G41*F41)</f>
        <v/>
      </c>
    </row>
    <row r="42">
      <c r="A42" t="inlineStr">
        <is>
          <t>AQ-1447</t>
        </is>
      </c>
      <c r="B42" t="inlineStr">
        <is>
          <t>Canister Filter 40gal</t>
        </is>
      </c>
      <c r="C42" t="inlineStr">
        <is>
          <t>Aquarium</t>
        </is>
      </c>
      <c r="D42" t="n">
        <v>4</v>
      </c>
      <c r="F42" t="n">
        <v>71.90000000000001</v>
      </c>
      <c r="G42">
        <f>IF(E42="","not counted",D42-E42)</f>
        <v/>
      </c>
      <c r="H42">
        <f>IF(E42="",0,G42*F42)</f>
        <v/>
      </c>
    </row>
    <row r="43">
      <c r="A43" t="inlineStr">
        <is>
          <t>AQ-1454</t>
        </is>
      </c>
      <c r="B43" t="inlineStr">
        <is>
          <t>Tropical Flakes 2.2oz</t>
        </is>
      </c>
      <c r="C43" t="inlineStr">
        <is>
          <t>Aquarium</t>
        </is>
      </c>
      <c r="D43" t="n">
        <v>39</v>
      </c>
      <c r="E43" t="n">
        <v>36</v>
      </c>
      <c r="F43" t="n">
        <v>3.82</v>
      </c>
      <c r="G43">
        <f>IF(E43="","not counted",D43-E43)</f>
        <v/>
      </c>
      <c r="H43">
        <f>IF(E43="",0,G43*F43)</f>
        <v/>
      </c>
    </row>
    <row r="44">
      <c r="A44" t="inlineStr">
        <is>
          <t>AQ-1461</t>
        </is>
      </c>
      <c r="B44" t="inlineStr">
        <is>
          <t>Water Conditioner 16oz</t>
        </is>
      </c>
      <c r="C44" t="inlineStr">
        <is>
          <t>Aquarium</t>
        </is>
      </c>
      <c r="D44" t="n">
        <v>16</v>
      </c>
      <c r="E44" t="n">
        <v>17</v>
      </c>
      <c r="F44" t="n">
        <v>5.83</v>
      </c>
      <c r="G44">
        <f>IF(E44="","not counted",D44-E44)</f>
        <v/>
      </c>
      <c r="H44">
        <f>IF(E44="",0,G44*F44)</f>
        <v/>
      </c>
    </row>
    <row r="45">
      <c r="A45" t="inlineStr">
        <is>
          <t>AQ-1468</t>
        </is>
      </c>
      <c r="B45" t="inlineStr">
        <is>
          <t>Aquarium Heater 100W</t>
        </is>
      </c>
      <c r="C45" t="inlineStr">
        <is>
          <t>Aquarium</t>
        </is>
      </c>
      <c r="D45" t="n">
        <v>16</v>
      </c>
      <c r="E45" t="n">
        <v>15</v>
      </c>
      <c r="F45" t="n">
        <v>14.81</v>
      </c>
      <c r="G45">
        <f>IF(E45="","not counted",D45-E45)</f>
        <v/>
      </c>
      <c r="H45">
        <f>IF(E45="",0,G45*F45)</f>
        <v/>
      </c>
    </row>
    <row r="46">
      <c r="A46" t="inlineStr">
        <is>
          <t>AQ-1475</t>
        </is>
      </c>
      <c r="B46" t="inlineStr">
        <is>
          <t>LED Light Bar 24in</t>
        </is>
      </c>
      <c r="C46" t="inlineStr">
        <is>
          <t>Aquarium</t>
        </is>
      </c>
      <c r="D46" t="n">
        <v>22</v>
      </c>
      <c r="E46" t="n">
        <v>22</v>
      </c>
      <c r="F46" t="n">
        <v>26.4</v>
      </c>
      <c r="G46">
        <f>IF(E46="","not counted",D46-E46)</f>
        <v/>
      </c>
      <c r="H46">
        <f>IF(E46="",0,G46*F46)</f>
        <v/>
      </c>
    </row>
    <row r="47">
      <c r="A47" t="inlineStr">
        <is>
          <t>AQ-1482</t>
        </is>
      </c>
      <c r="B47" t="inlineStr">
        <is>
          <t>Gravel Natural 25lb</t>
        </is>
      </c>
      <c r="C47" t="inlineStr">
        <is>
          <t>Aquarium</t>
        </is>
      </c>
      <c r="D47" t="n">
        <v>49</v>
      </c>
      <c r="E47" t="n">
        <v>45</v>
      </c>
      <c r="F47" t="n">
        <v>9.52</v>
      </c>
      <c r="G47">
        <f>IF(E47="","not counted",D47-E47)</f>
        <v/>
      </c>
      <c r="H47">
        <f>IF(E47="",0,G47*F47)</f>
        <v/>
      </c>
    </row>
    <row r="48">
      <c r="A48" t="inlineStr">
        <is>
          <t>AQ-1489</t>
        </is>
      </c>
      <c r="B48" t="inlineStr">
        <is>
          <t>Test Strips 50ct</t>
        </is>
      </c>
      <c r="C48" t="inlineStr">
        <is>
          <t>Aquarium</t>
        </is>
      </c>
      <c r="D48" t="n">
        <v>24</v>
      </c>
      <c r="E48" t="n">
        <v>24</v>
      </c>
      <c r="F48" t="n">
        <v>8.109999999999999</v>
      </c>
      <c r="G48">
        <f>IF(E48="","not counted",D48-E48)</f>
        <v/>
      </c>
      <c r="H48">
        <f>IF(E48="",0,G48*F48)</f>
        <v/>
      </c>
    </row>
    <row r="49">
      <c r="A49" t="inlineStr">
        <is>
          <t>AQ-1496</t>
        </is>
      </c>
      <c r="B49" t="inlineStr">
        <is>
          <t>Betta Pellets 1oz</t>
        </is>
      </c>
      <c r="C49" t="inlineStr">
        <is>
          <t>Aquarium</t>
        </is>
      </c>
      <c r="D49" t="n">
        <v>19</v>
      </c>
      <c r="E49" t="n">
        <v>18</v>
      </c>
      <c r="F49" t="n">
        <v>2.22</v>
      </c>
      <c r="G49">
        <f>IF(E49="","not counted",D49-E49)</f>
        <v/>
      </c>
      <c r="H49">
        <f>IF(E49="",0,G49*F49)</f>
        <v/>
      </c>
    </row>
    <row r="50">
      <c r="A50" t="inlineStr">
        <is>
          <t>GR-1540</t>
        </is>
      </c>
      <c r="B50" t="inlineStr">
        <is>
          <t>Oatmeal Shampoo 16oz</t>
        </is>
      </c>
      <c r="C50" t="inlineStr">
        <is>
          <t>Grooming</t>
        </is>
      </c>
      <c r="D50" t="n">
        <v>15</v>
      </c>
      <c r="E50" t="n">
        <v>14</v>
      </c>
      <c r="F50" t="n">
        <v>4.97</v>
      </c>
      <c r="G50">
        <f>IF(E50="","not counted",D50-E50)</f>
        <v/>
      </c>
      <c r="H50">
        <f>IF(E50="",0,G50*F50)</f>
        <v/>
      </c>
    </row>
    <row r="51">
      <c r="A51" t="inlineStr">
        <is>
          <t>GR-1547</t>
        </is>
      </c>
      <c r="B51" t="inlineStr">
        <is>
          <t>Slicker Brush M</t>
        </is>
      </c>
      <c r="C51" t="inlineStr">
        <is>
          <t>Grooming</t>
        </is>
      </c>
      <c r="D51" t="n">
        <v>34</v>
      </c>
      <c r="E51" t="n">
        <v>35</v>
      </c>
      <c r="F51" t="n">
        <v>6.45</v>
      </c>
      <c r="G51">
        <f>IF(E51="","not counted",D51-E51)</f>
        <v/>
      </c>
      <c r="H51">
        <f>IF(E51="",0,G51*F51)</f>
        <v/>
      </c>
    </row>
    <row r="52">
      <c r="A52" t="inlineStr">
        <is>
          <t>GR-1554</t>
        </is>
      </c>
      <c r="B52" t="inlineStr">
        <is>
          <t>Nail Clipper Pro</t>
        </is>
      </c>
      <c r="C52" t="inlineStr">
        <is>
          <t>Grooming</t>
        </is>
      </c>
      <c r="D52" t="n">
        <v>30</v>
      </c>
      <c r="E52" t="n">
        <v>29</v>
      </c>
      <c r="F52" t="n">
        <v>7.69</v>
      </c>
      <c r="G52">
        <f>IF(E52="","not counted",D52-E52)</f>
        <v/>
      </c>
      <c r="H52">
        <f>IF(E52="",0,G52*F52)</f>
        <v/>
      </c>
    </row>
    <row r="53">
      <c r="A53" t="inlineStr">
        <is>
          <t>GR-1561</t>
        </is>
      </c>
      <c r="B53" t="inlineStr">
        <is>
          <t>Ear Cleaner 4oz</t>
        </is>
      </c>
      <c r="C53" t="inlineStr">
        <is>
          <t>Grooming</t>
        </is>
      </c>
      <c r="D53" t="n">
        <v>32</v>
      </c>
      <c r="E53" t="n">
        <v>33</v>
      </c>
      <c r="F53" t="n">
        <v>4.22</v>
      </c>
      <c r="G53">
        <f>IF(E53="","not counted",D53-E53)</f>
        <v/>
      </c>
      <c r="H53">
        <f>IF(E53="",0,G53*F53)</f>
        <v/>
      </c>
    </row>
    <row r="54">
      <c r="A54" t="inlineStr">
        <is>
          <t>GR-1568</t>
        </is>
      </c>
      <c r="B54" t="inlineStr">
        <is>
          <t>Deshedding Tool L</t>
        </is>
      </c>
      <c r="C54" t="inlineStr">
        <is>
          <t>Grooming</t>
        </is>
      </c>
      <c r="D54" t="n">
        <v>37</v>
      </c>
      <c r="E54" t="n">
        <v>35</v>
      </c>
      <c r="F54" t="n">
        <v>14.32</v>
      </c>
      <c r="G54">
        <f>IF(E54="","not counted",D54-E54)</f>
        <v/>
      </c>
      <c r="H54">
        <f>IF(E54="",0,G54*F54)</f>
        <v/>
      </c>
    </row>
    <row r="55">
      <c r="A55" t="inlineStr">
        <is>
          <t>GR-1575</t>
        </is>
      </c>
      <c r="B55" t="inlineStr">
        <is>
          <t>Detangling Spray 8oz</t>
        </is>
      </c>
      <c r="C55" t="inlineStr">
        <is>
          <t>Grooming</t>
        </is>
      </c>
      <c r="D55" t="n">
        <v>44</v>
      </c>
      <c r="E55" t="n">
        <v>43</v>
      </c>
      <c r="F55" t="n">
        <v>4.58</v>
      </c>
      <c r="G55">
        <f>IF(E55="","not counted",D55-E55)</f>
        <v/>
      </c>
      <c r="H55">
        <f>IF(E55="",0,G55*F55)</f>
        <v/>
      </c>
    </row>
    <row r="56">
      <c r="A56" t="inlineStr">
        <is>
          <t>GR-1582</t>
        </is>
      </c>
      <c r="B56" t="inlineStr">
        <is>
          <t>Paw Balm 2oz</t>
        </is>
      </c>
      <c r="C56" t="inlineStr">
        <is>
          <t>Grooming</t>
        </is>
      </c>
      <c r="D56" t="n">
        <v>6</v>
      </c>
      <c r="E56" t="n">
        <v>5</v>
      </c>
      <c r="F56" t="n">
        <v>3.49</v>
      </c>
      <c r="G56">
        <f>IF(E56="","not counted",D56-E56)</f>
        <v/>
      </c>
      <c r="H56">
        <f>IF(E56="",0,G56*F56)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Avg cost</t>
        </is>
      </c>
      <c r="E1" s="1" t="inlineStr">
        <is>
          <t>Value</t>
        </is>
      </c>
    </row>
    <row r="2">
      <c r="A2" t="inlineStr">
        <is>
          <t>CA-1154</t>
        </is>
      </c>
      <c r="B2" t="inlineStr">
        <is>
          <t>Kitten Chicken 7lb</t>
        </is>
      </c>
      <c r="C2" t="n">
        <v>3</v>
      </c>
      <c r="D2" t="n">
        <v>17.11</v>
      </c>
      <c r="E2">
        <f>C2*D2</f>
        <v/>
      </c>
    </row>
    <row r="3">
      <c r="A3" t="inlineStr">
        <is>
          <t>CA-1189</t>
        </is>
      </c>
      <c r="B3" t="inlineStr">
        <is>
          <t>Urinary Care 8lb</t>
        </is>
      </c>
      <c r="C3" t="n">
        <v>2</v>
      </c>
      <c r="D3" t="n">
        <v>22.1</v>
      </c>
      <c r="E3">
        <f>C3*D3</f>
        <v/>
      </c>
    </row>
    <row r="4">
      <c r="A4" t="inlineStr">
        <is>
          <t>TR-1282</t>
        </is>
      </c>
      <c r="B4" t="inlineStr">
        <is>
          <t>Cat Crunchy Treats 6oz</t>
        </is>
      </c>
      <c r="C4" t="n">
        <v>1</v>
      </c>
      <c r="D4" t="n">
        <v>2.28</v>
      </c>
      <c r="E4">
        <f>C4*D4</f>
        <v/>
      </c>
    </row>
    <row r="5">
      <c r="A5" t="inlineStr">
        <is>
          <t>AQ-1447</t>
        </is>
      </c>
      <c r="B5" t="inlineStr">
        <is>
          <t>Canister Filter 40gal</t>
        </is>
      </c>
      <c r="C5" t="n">
        <v>3</v>
      </c>
      <c r="D5" t="n">
        <v>71.90000000000001</v>
      </c>
      <c r="E5">
        <f>C5*D5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