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us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1" t="inlineStr">
        <is>
          <t>Item</t>
        </is>
      </c>
      <c r="B1" s="1" t="inlineStr">
        <is>
          <t>Menu group</t>
        </is>
      </c>
      <c r="C1" s="1" t="inlineStr">
        <is>
          <t>Quantity sold</t>
        </is>
      </c>
      <c r="D1" s="1" t="inlineStr">
        <is>
          <t>Net sales</t>
        </is>
      </c>
      <c r="E1" s="1" t="inlineStr">
        <is>
          <t>Food cost</t>
        </is>
      </c>
      <c r="F1" s="1" t="inlineStr">
        <is>
          <t>Margin $</t>
        </is>
      </c>
      <c r="G1" s="1" t="inlineStr">
        <is>
          <t>Margin %</t>
        </is>
      </c>
      <c r="H1" s="1" t="inlineStr">
        <is>
          <t>Rank by quantity</t>
        </is>
      </c>
      <c r="I1" s="1" t="inlineStr">
        <is>
          <t>Rank by margin</t>
        </is>
      </c>
    </row>
    <row r="2">
      <c r="A2" t="inlineStr">
        <is>
          <t>Breakfast Sandwich</t>
        </is>
      </c>
      <c r="B2" t="inlineStr">
        <is>
          <t>Breakfast</t>
        </is>
      </c>
      <c r="C2" t="n">
        <v>220</v>
      </c>
      <c r="D2" s="2" t="n">
        <v>2317.5</v>
      </c>
      <c r="E2" s="2" t="n">
        <v>811.9</v>
      </c>
      <c r="F2">
        <f>ROUND(D2-E2,2)</f>
        <v/>
      </c>
      <c r="G2">
        <f>IF(D2=0,0,ROUND(F2/D2,4))</f>
        <v/>
      </c>
      <c r="H2" t="n">
        <v>3</v>
      </c>
      <c r="I2" t="n">
        <v>1</v>
      </c>
    </row>
    <row r="3">
      <c r="A3" t="inlineStr">
        <is>
          <t>Smashed Avocado Toast</t>
        </is>
      </c>
      <c r="B3" t="inlineStr">
        <is>
          <t>Breakfast</t>
        </is>
      </c>
      <c r="C3" t="n">
        <v>178</v>
      </c>
      <c r="D3" s="2" t="n">
        <v>1954</v>
      </c>
      <c r="E3" s="2" t="n">
        <v>667.2</v>
      </c>
      <c r="F3">
        <f>ROUND(D3-E3,2)</f>
        <v/>
      </c>
      <c r="G3">
        <f>IF(D3=0,0,ROUND(F3/D3,4))</f>
        <v/>
      </c>
      <c r="H3" t="n">
        <v>5</v>
      </c>
      <c r="I3" t="n">
        <v>2</v>
      </c>
    </row>
    <row r="4">
      <c r="A4" t="inlineStr">
        <is>
          <t>Latte</t>
        </is>
      </c>
      <c r="B4" t="inlineStr">
        <is>
          <t>Coffee &amp; Tea</t>
        </is>
      </c>
      <c r="C4" t="n">
        <v>281</v>
      </c>
      <c r="D4" s="2" t="n">
        <v>1531.91</v>
      </c>
      <c r="E4" s="2" t="n">
        <v>353.57</v>
      </c>
      <c r="F4">
        <f>ROUND(D4-E4,2)</f>
        <v/>
      </c>
      <c r="G4">
        <f>IF(D4=0,0,ROUND(F4/D4,4))</f>
        <v/>
      </c>
      <c r="H4" t="n">
        <v>2</v>
      </c>
      <c r="I4" t="n">
        <v>3</v>
      </c>
    </row>
    <row r="5">
      <c r="A5" t="inlineStr">
        <is>
          <t>Turkey Club</t>
        </is>
      </c>
      <c r="B5" t="inlineStr">
        <is>
          <t>Lunch</t>
        </is>
      </c>
      <c r="C5" t="n">
        <v>130</v>
      </c>
      <c r="D5" s="2" t="n">
        <v>1783</v>
      </c>
      <c r="E5" s="2" t="n">
        <v>683.15</v>
      </c>
      <c r="F5">
        <f>ROUND(D5-E5,2)</f>
        <v/>
      </c>
      <c r="G5">
        <f>IF(D5=0,0,ROUND(F5/D5,4))</f>
        <v/>
      </c>
      <c r="H5" t="n">
        <v>10</v>
      </c>
      <c r="I5" t="n">
        <v>4</v>
      </c>
    </row>
    <row r="6">
      <c r="A6" t="inlineStr">
        <is>
          <t>Drip Coffee</t>
        </is>
      </c>
      <c r="B6" t="inlineStr">
        <is>
          <t>Coffee &amp; Tea</t>
        </is>
      </c>
      <c r="C6" t="n">
        <v>369</v>
      </c>
      <c r="D6" s="2" t="n">
        <v>1063.5</v>
      </c>
      <c r="E6" s="2" t="n">
        <v>166.05</v>
      </c>
      <c r="F6">
        <f>ROUND(D6-E6,2)</f>
        <v/>
      </c>
      <c r="G6">
        <f>IF(D6=0,0,ROUND(F6/D6,4))</f>
        <v/>
      </c>
      <c r="H6" t="n">
        <v>1</v>
      </c>
      <c r="I6" t="n">
        <v>5</v>
      </c>
    </row>
    <row r="7">
      <c r="A7" t="inlineStr">
        <is>
          <t>Greek Salad</t>
        </is>
      </c>
      <c r="B7" t="inlineStr">
        <is>
          <t>Lunch</t>
        </is>
      </c>
      <c r="C7" t="n">
        <v>107</v>
      </c>
      <c r="D7" s="2" t="n">
        <v>1243</v>
      </c>
      <c r="E7" s="2" t="n">
        <v>429.65</v>
      </c>
      <c r="F7">
        <f>ROUND(D7-E7,2)</f>
        <v/>
      </c>
      <c r="G7">
        <f>IF(D7=0,0,ROUND(F7/D7,4))</f>
        <v/>
      </c>
      <c r="H7" t="n">
        <v>13</v>
      </c>
      <c r="I7" t="n">
        <v>6</v>
      </c>
    </row>
    <row r="8">
      <c r="A8" t="inlineStr">
        <is>
          <t>Cold Brew</t>
        </is>
      </c>
      <c r="B8" t="inlineStr">
        <is>
          <t>Coffee &amp; Tea</t>
        </is>
      </c>
      <c r="C8" t="n">
        <v>198</v>
      </c>
      <c r="D8" s="2" t="n">
        <v>889.72</v>
      </c>
      <c r="E8" s="2" t="n">
        <v>156.72</v>
      </c>
      <c r="F8">
        <f>ROUND(D8-E8,2)</f>
        <v/>
      </c>
      <c r="G8">
        <f>IF(D8=0,0,ROUND(F8/D8,4))</f>
        <v/>
      </c>
      <c r="H8" t="n">
        <v>4</v>
      </c>
      <c r="I8" t="n">
        <v>7</v>
      </c>
    </row>
    <row r="9">
      <c r="A9" t="inlineStr">
        <is>
          <t>Cappuccino</t>
        </is>
      </c>
      <c r="B9" t="inlineStr">
        <is>
          <t>Coffee &amp; Tea</t>
        </is>
      </c>
      <c r="C9" t="n">
        <v>160</v>
      </c>
      <c r="D9" s="2" t="n">
        <v>781.6</v>
      </c>
      <c r="E9" s="2" t="n">
        <v>174.2</v>
      </c>
      <c r="F9">
        <f>ROUND(D9-E9,2)</f>
        <v/>
      </c>
      <c r="G9">
        <f>IF(D9=0,0,ROUND(F9/D9,4))</f>
        <v/>
      </c>
      <c r="H9" t="n">
        <v>7</v>
      </c>
      <c r="I9" t="n">
        <v>8</v>
      </c>
    </row>
    <row r="10">
      <c r="A10" t="inlineStr">
        <is>
          <t>Oatmeal Bowl</t>
        </is>
      </c>
      <c r="B10" t="inlineStr">
        <is>
          <t>Breakfast</t>
        </is>
      </c>
      <c r="C10" t="n">
        <v>103</v>
      </c>
      <c r="D10" s="2" t="n">
        <v>750</v>
      </c>
      <c r="E10" s="2" t="n">
        <v>164.8</v>
      </c>
      <c r="F10">
        <f>ROUND(D10-E10,2)</f>
        <v/>
      </c>
      <c r="G10">
        <f>IF(D10=0,0,ROUND(F10/D10,4))</f>
        <v/>
      </c>
      <c r="H10" t="n">
        <v>14</v>
      </c>
      <c r="I10" t="n">
        <v>9</v>
      </c>
    </row>
    <row r="11">
      <c r="A11" t="inlineStr">
        <is>
          <t>Soup of the Day</t>
        </is>
      </c>
      <c r="B11" t="inlineStr">
        <is>
          <t>Lunch</t>
        </is>
      </c>
      <c r="C11" t="n">
        <v>121</v>
      </c>
      <c r="D11" s="2" t="n">
        <v>812</v>
      </c>
      <c r="E11" s="2" t="n">
        <v>242</v>
      </c>
      <c r="F11">
        <f>ROUND(D11-E11,2)</f>
        <v/>
      </c>
      <c r="G11">
        <f>IF(D11=0,0,ROUND(F11/D11,4))</f>
        <v/>
      </c>
      <c r="H11" t="n">
        <v>12</v>
      </c>
      <c r="I11" t="n">
        <v>10</v>
      </c>
    </row>
    <row r="12">
      <c r="A12" t="inlineStr">
        <is>
          <t>Chai Tea</t>
        </is>
      </c>
      <c r="B12" t="inlineStr">
        <is>
          <t>Coffee &amp; Tea</t>
        </is>
      </c>
      <c r="C12" t="n">
        <v>127</v>
      </c>
      <c r="D12" s="2" t="n">
        <v>581.86</v>
      </c>
      <c r="E12" s="2" t="n">
        <v>114.3</v>
      </c>
      <c r="F12">
        <f>ROUND(D12-E12,2)</f>
        <v/>
      </c>
      <c r="G12">
        <f>IF(D12=0,0,ROUND(F12/D12,4))</f>
        <v/>
      </c>
      <c r="H12" t="n">
        <v>11</v>
      </c>
      <c r="I12" t="n">
        <v>11</v>
      </c>
    </row>
    <row r="13">
      <c r="A13" t="inlineStr">
        <is>
          <t>Croissant</t>
        </is>
      </c>
      <c r="B13" t="inlineStr">
        <is>
          <t>Bakery</t>
        </is>
      </c>
      <c r="C13" t="n">
        <v>162</v>
      </c>
      <c r="D13" s="2" t="n">
        <v>579.35</v>
      </c>
      <c r="E13" s="2" t="n">
        <v>170.1</v>
      </c>
      <c r="F13">
        <f>ROUND(D13-E13,2)</f>
        <v/>
      </c>
      <c r="G13">
        <f>IF(D13=0,0,ROUND(F13/D13,4))</f>
        <v/>
      </c>
      <c r="H13" t="n">
        <v>6</v>
      </c>
      <c r="I13" t="n">
        <v>12</v>
      </c>
    </row>
    <row r="14">
      <c r="A14" t="inlineStr">
        <is>
          <t>Blueberry Muffin</t>
        </is>
      </c>
      <c r="B14" t="inlineStr">
        <is>
          <t>Bakery</t>
        </is>
      </c>
      <c r="C14" t="n">
        <v>145</v>
      </c>
      <c r="D14" s="2" t="n">
        <v>486.5</v>
      </c>
      <c r="E14" s="2" t="n">
        <v>123.25</v>
      </c>
      <c r="F14">
        <f>ROUND(D14-E14,2)</f>
        <v/>
      </c>
      <c r="G14">
        <f>IF(D14=0,0,ROUND(F14/D14,4))</f>
        <v/>
      </c>
      <c r="H14" t="n">
        <v>9</v>
      </c>
      <c r="I14" t="n">
        <v>13</v>
      </c>
    </row>
    <row r="15">
      <c r="A15" t="inlineStr">
        <is>
          <t>Chocolate Chip Cookie</t>
        </is>
      </c>
      <c r="B15" t="inlineStr">
        <is>
          <t>Bakery</t>
        </is>
      </c>
      <c r="C15" t="n">
        <v>153</v>
      </c>
      <c r="D15" s="2" t="n">
        <v>409.73</v>
      </c>
      <c r="E15" s="2" t="n">
        <v>91.8</v>
      </c>
      <c r="F15">
        <f>ROUND(D15-E15,2)</f>
        <v/>
      </c>
      <c r="G15">
        <f>IF(D15=0,0,ROUND(F15/D15,4))</f>
        <v/>
      </c>
      <c r="H15" t="n">
        <v>8</v>
      </c>
      <c r="I15" t="n">
        <v>14</v>
      </c>
    </row>
    <row r="16">
      <c r="A16" t="inlineStr">
        <is>
          <t>Total</t>
        </is>
      </c>
      <c r="C16">
        <f>SUM(C2:C15)</f>
        <v/>
      </c>
      <c r="D16">
        <f>SUM(D2:D15)</f>
        <v/>
      </c>
      <c r="E16">
        <f>SUM(E2:E15)</f>
        <v/>
      </c>
      <c r="F16">
        <f>SUM(F2:F15)</f>
        <v/>
      </c>
      <c r="G16">
        <f>IF(D16=0,0,ROUND(F16/D16,4))</f>
        <v/>
      </c>
    </row>
    <row r="17"/>
    <row r="18">
      <c r="A18" t="inlineStr">
        <is>
          <t>Modifier charges and costs are included in their item. Comps count in quantity and cost with no sales; voids are excluded.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