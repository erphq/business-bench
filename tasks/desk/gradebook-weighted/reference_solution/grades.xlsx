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Grades" sheetId="1" state="visible" r:id="rId1"/>
    <sheet name="Scores" sheetId="2" state="visible" r:id="rId2"/>
    <sheet name="Weights" sheetId="3" state="visible" r:id="rId3"/>
    <sheet name="Sca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Student ID</t>
        </is>
      </c>
      <c r="B1" s="1" t="inlineStr">
        <is>
          <t>Student</t>
        </is>
      </c>
      <c r="C1" s="1" t="inlineStr">
        <is>
          <t>Quizzes %</t>
        </is>
      </c>
      <c r="D1" s="1" t="inlineStr">
        <is>
          <t>Homework %</t>
        </is>
      </c>
      <c r="E1" s="1" t="inlineStr">
        <is>
          <t>Midterm %</t>
        </is>
      </c>
      <c r="F1" s="1" t="inlineStr">
        <is>
          <t>Project %</t>
        </is>
      </c>
      <c r="G1" s="1" t="inlineStr">
        <is>
          <t>Final Exam %</t>
        </is>
      </c>
      <c r="H1" s="1" t="inlineStr">
        <is>
          <t>Final %</t>
        </is>
      </c>
      <c r="I1" s="1" t="inlineStr">
        <is>
          <t>Letter</t>
        </is>
      </c>
    </row>
    <row r="2">
      <c r="A2" t="inlineStr">
        <is>
          <t>4415108</t>
        </is>
      </c>
      <c r="B2" t="inlineStr">
        <is>
          <t>Ortiz, William</t>
        </is>
      </c>
      <c r="C2">
        <f>100*(SUM(Scores!C2:H2)-MIN(Scores!C2:H2))/(COUNTIF(Scores!C2:H2,"&gt;=0")-1)/10</f>
        <v/>
      </c>
      <c r="D2">
        <f>100*SUM(Scores!I2:M2)/(COUNTIF(Scores!I2:M2,"&gt;=0")*20)</f>
        <v/>
      </c>
      <c r="E2">
        <f>100*Scores!N2/50</f>
        <v/>
      </c>
      <c r="F2">
        <f>100*Scores!O2/40</f>
        <v/>
      </c>
      <c r="G2">
        <f>100*Scores!P2/100</f>
        <v/>
      </c>
      <c r="H2">
        <f>ROUND(C2*Weights!$B$2+D2*Weights!$B$3+E2*Weights!$B$4+F2*Weights!$B$5+G2*Weights!$B$6,1)</f>
        <v/>
      </c>
      <c r="I2">
        <f>VLOOKUP(H2,Scale!$A$2:$B$11,2,TRUE)</f>
        <v/>
      </c>
    </row>
    <row r="3">
      <c r="A3" t="inlineStr">
        <is>
          <t>4414263</t>
        </is>
      </c>
      <c r="B3" t="inlineStr">
        <is>
          <t>Johnson, Ashley</t>
        </is>
      </c>
      <c r="C3">
        <f>100*(SUM(Scores!C3:H3)-MIN(Scores!C3:H3))/(COUNTIF(Scores!C3:H3,"&gt;=0")-1)/10</f>
        <v/>
      </c>
      <c r="D3">
        <f>100*SUM(Scores!I3:M3)/(COUNTIF(Scores!I3:M3,"&gt;=0")*20)</f>
        <v/>
      </c>
      <c r="E3">
        <f>100*Scores!N3/50</f>
        <v/>
      </c>
      <c r="F3">
        <f>100*Scores!O3/40</f>
        <v/>
      </c>
      <c r="G3">
        <f>100*Scores!P3/100</f>
        <v/>
      </c>
      <c r="H3">
        <f>ROUND(C3*Weights!$B$2+D3*Weights!$B$3+E3*Weights!$B$4+F3*Weights!$B$5+G3*Weights!$B$6,1)</f>
        <v/>
      </c>
      <c r="I3">
        <f>VLOOKUP(H3,Scale!$A$2:$B$11,2,TRUE)</f>
        <v/>
      </c>
    </row>
    <row r="4">
      <c r="A4" t="inlineStr">
        <is>
          <t>4414034</t>
        </is>
      </c>
      <c r="B4" t="inlineStr">
        <is>
          <t>Cook, Omar</t>
        </is>
      </c>
      <c r="C4">
        <f>100*(SUM(Scores!C4:H4)-MIN(Scores!C4:H4))/(COUNTIF(Scores!C4:H4,"&gt;=0")-1)/10</f>
        <v/>
      </c>
      <c r="D4">
        <f>100*SUM(Scores!I4:M4)/(COUNTIF(Scores!I4:M4,"&gt;=0")*20)</f>
        <v/>
      </c>
      <c r="E4">
        <f>100*Scores!N4/50</f>
        <v/>
      </c>
      <c r="F4">
        <f>100*Scores!O4/40</f>
        <v/>
      </c>
      <c r="G4">
        <f>100*Scores!P4/100</f>
        <v/>
      </c>
      <c r="H4">
        <f>ROUND(C4*Weights!$B$2+D4*Weights!$B$3+E4*Weights!$B$4+F4*Weights!$B$5+G4*Weights!$B$6,1)</f>
        <v/>
      </c>
      <c r="I4">
        <f>VLOOKUP(H4,Scale!$A$2:$B$11,2,TRUE)</f>
        <v/>
      </c>
    </row>
    <row r="5">
      <c r="A5" t="inlineStr">
        <is>
          <t>4414231</t>
        </is>
      </c>
      <c r="B5" t="inlineStr">
        <is>
          <t>Ruiz, Jonathan</t>
        </is>
      </c>
      <c r="C5">
        <f>100*(SUM(Scores!C5:H5)-MIN(Scores!C5:H5))/(COUNTIF(Scores!C5:H5,"&gt;=0")-1)/10</f>
        <v/>
      </c>
      <c r="D5">
        <f>100*SUM(Scores!I5:M5)/(COUNTIF(Scores!I5:M5,"&gt;=0")*20)</f>
        <v/>
      </c>
      <c r="E5">
        <f>100*Scores!N5/50</f>
        <v/>
      </c>
      <c r="F5">
        <f>100*Scores!O5/40</f>
        <v/>
      </c>
      <c r="G5">
        <f>100*Scores!P5/100</f>
        <v/>
      </c>
      <c r="H5">
        <f>ROUND(C5*Weights!$B$2+D5*Weights!$B$3+E5*Weights!$B$4+F5*Weights!$B$5+G5*Weights!$B$6,1)</f>
        <v/>
      </c>
      <c r="I5">
        <f>VLOOKUP(H5,Scale!$A$2:$B$11,2,TRUE)</f>
        <v/>
      </c>
    </row>
    <row r="6">
      <c r="A6" t="inlineStr">
        <is>
          <t>4414825</t>
        </is>
      </c>
      <c r="B6" t="inlineStr">
        <is>
          <t>Perez, Chloe</t>
        </is>
      </c>
      <c r="C6">
        <f>100*(SUM(Scores!C6:H6)-MIN(Scores!C6:H6))/(COUNTIF(Scores!C6:H6,"&gt;=0")-1)/10</f>
        <v/>
      </c>
      <c r="D6">
        <f>100*SUM(Scores!I6:M6)/(COUNTIF(Scores!I6:M6,"&gt;=0")*20)</f>
        <v/>
      </c>
      <c r="E6">
        <f>100*Scores!N6/50</f>
        <v/>
      </c>
      <c r="F6">
        <f>100*Scores!O6/40</f>
        <v/>
      </c>
      <c r="G6">
        <f>100*Scores!P6/100</f>
        <v/>
      </c>
      <c r="H6">
        <f>ROUND(C6*Weights!$B$2+D6*Weights!$B$3+E6*Weights!$B$4+F6*Weights!$B$5+G6*Weights!$B$6,1)</f>
        <v/>
      </c>
      <c r="I6">
        <f>VLOOKUP(H6,Scale!$A$2:$B$11,2,TRUE)</f>
        <v/>
      </c>
    </row>
    <row r="7">
      <c r="A7" t="inlineStr">
        <is>
          <t>4411439</t>
        </is>
      </c>
      <c r="B7" t="inlineStr">
        <is>
          <t>Wright, Carol</t>
        </is>
      </c>
      <c r="C7">
        <f>100*(SUM(Scores!C7:H7)-MIN(Scores!C7:H7))/(COUNTIF(Scores!C7:H7,"&gt;=0")-1)/10</f>
        <v/>
      </c>
      <c r="D7">
        <f>100*SUM(Scores!I7:M7)/(COUNTIF(Scores!I7:M7,"&gt;=0")*20)</f>
        <v/>
      </c>
      <c r="E7">
        <f>100*Scores!N7/50</f>
        <v/>
      </c>
      <c r="F7">
        <f>100*Scores!O7/40</f>
        <v/>
      </c>
      <c r="G7">
        <f>100*Scores!P7/100</f>
        <v/>
      </c>
      <c r="H7">
        <f>ROUND(C7*Weights!$B$2+D7*Weights!$B$3+E7*Weights!$B$4+F7*Weights!$B$5+G7*Weights!$B$6,1)</f>
        <v/>
      </c>
      <c r="I7">
        <f>VLOOKUP(H7,Scale!$A$2:$B$11,2,TRUE)</f>
        <v/>
      </c>
    </row>
    <row r="8">
      <c r="A8" t="inlineStr">
        <is>
          <t>4414943</t>
        </is>
      </c>
      <c r="B8" t="inlineStr">
        <is>
          <t>Price, George</t>
        </is>
      </c>
      <c r="C8">
        <f>100*(SUM(Scores!C8:H8)-MIN(Scores!C8:H8))/(COUNTIF(Scores!C8:H8,"&gt;=0")-1)/10</f>
        <v/>
      </c>
      <c r="D8">
        <f>100*SUM(Scores!I8:M8)/(COUNTIF(Scores!I8:M8,"&gt;=0")*20)</f>
        <v/>
      </c>
      <c r="E8">
        <f>100*Scores!N8/50</f>
        <v/>
      </c>
      <c r="F8">
        <f>100*Scores!O8/40</f>
        <v/>
      </c>
      <c r="G8">
        <f>100*Scores!P8/100</f>
        <v/>
      </c>
      <c r="H8">
        <f>ROUND(C8*Weights!$B$2+D8*Weights!$B$3+E8*Weights!$B$4+F8*Weights!$B$5+G8*Weights!$B$6,1)</f>
        <v/>
      </c>
      <c r="I8">
        <f>VLOOKUP(H8,Scale!$A$2:$B$11,2,TRUE)</f>
        <v/>
      </c>
    </row>
    <row r="9">
      <c r="A9" t="inlineStr">
        <is>
          <t>4413361</t>
        </is>
      </c>
      <c r="B9" t="inlineStr">
        <is>
          <t>Cox, Jennifer</t>
        </is>
      </c>
      <c r="C9">
        <f>100*(SUM(Scores!C9:H9)-MIN(Scores!C9:H9))/(COUNTIF(Scores!C9:H9,"&gt;=0")-1)/10</f>
        <v/>
      </c>
      <c r="D9">
        <f>100*SUM(Scores!I9:M9)/(COUNTIF(Scores!I9:M9,"&gt;=0")*20)</f>
        <v/>
      </c>
      <c r="E9">
        <f>100*Scores!N9/50</f>
        <v/>
      </c>
      <c r="F9">
        <f>100*Scores!O9/40</f>
        <v/>
      </c>
      <c r="G9">
        <f>100*Scores!P9/100</f>
        <v/>
      </c>
      <c r="H9">
        <f>ROUND(C9*Weights!$B$2+D9*Weights!$B$3+E9*Weights!$B$4+F9*Weights!$B$5+G9*Weights!$B$6,1)</f>
        <v/>
      </c>
      <c r="I9">
        <f>VLOOKUP(H9,Scale!$A$2:$B$11,2,TRUE)</f>
        <v/>
      </c>
    </row>
    <row r="10">
      <c r="A10" t="inlineStr">
        <is>
          <t>4410357</t>
        </is>
      </c>
      <c r="B10" t="inlineStr">
        <is>
          <t>Jackson, Gary</t>
        </is>
      </c>
      <c r="C10">
        <f>100*(SUM(Scores!C10:H10)-MIN(Scores!C10:H10))/(COUNTIF(Scores!C10:H10,"&gt;=0")-1)/10</f>
        <v/>
      </c>
      <c r="D10">
        <f>100*SUM(Scores!I10:M10)/(COUNTIF(Scores!I10:M10,"&gt;=0")*20)</f>
        <v/>
      </c>
      <c r="E10">
        <f>100*Scores!N10/50</f>
        <v/>
      </c>
      <c r="F10">
        <f>100*Scores!O10/40</f>
        <v/>
      </c>
      <c r="G10">
        <f>100*Scores!P10/100</f>
        <v/>
      </c>
      <c r="H10">
        <f>ROUND(C10*Weights!$B$2+D10*Weights!$B$3+E10*Weights!$B$4+F10*Weights!$B$5+G10*Weights!$B$6,1)</f>
        <v/>
      </c>
      <c r="I10">
        <f>VLOOKUP(H10,Scale!$A$2:$B$11,2,TRUE)</f>
        <v/>
      </c>
    </row>
    <row r="11">
      <c r="A11" t="inlineStr">
        <is>
          <t>4410140</t>
        </is>
      </c>
      <c r="B11" t="inlineStr">
        <is>
          <t>Hall, Amara</t>
        </is>
      </c>
      <c r="C11">
        <f>100*(SUM(Scores!C11:H11)-MIN(Scores!C11:H11))/(COUNTIF(Scores!C11:H11,"&gt;=0")-1)/10</f>
        <v/>
      </c>
      <c r="D11">
        <f>100*SUM(Scores!I11:M11)/(COUNTIF(Scores!I11:M11,"&gt;=0")*20)</f>
        <v/>
      </c>
      <c r="E11">
        <f>100*Scores!N11/50</f>
        <v/>
      </c>
      <c r="F11">
        <f>100*Scores!O11/40</f>
        <v/>
      </c>
      <c r="G11">
        <f>100*Scores!P11/100</f>
        <v/>
      </c>
      <c r="H11">
        <f>ROUND(C11*Weights!$B$2+D11*Weights!$B$3+E11*Weights!$B$4+F11*Weights!$B$5+G11*Weights!$B$6,1)</f>
        <v/>
      </c>
      <c r="I11">
        <f>VLOOKUP(H11,Scale!$A$2:$B$11,2,TRUE)</f>
        <v/>
      </c>
    </row>
    <row r="12">
      <c r="A12" t="inlineStr">
        <is>
          <t>4411749</t>
        </is>
      </c>
      <c r="B12" t="inlineStr">
        <is>
          <t>Myers, Sofia</t>
        </is>
      </c>
      <c r="C12">
        <f>100*(SUM(Scores!C12:H12)-MIN(Scores!C12:H12))/(COUNTIF(Scores!C12:H12,"&gt;=0")-1)/10</f>
        <v/>
      </c>
      <c r="D12">
        <f>100*SUM(Scores!I12:M12)/(COUNTIF(Scores!I12:M12,"&gt;=0")*20)</f>
        <v/>
      </c>
      <c r="E12">
        <f>100*Scores!N12/50</f>
        <v/>
      </c>
      <c r="F12">
        <f>100*Scores!O12/40</f>
        <v/>
      </c>
      <c r="G12">
        <f>100*Scores!P12/100</f>
        <v/>
      </c>
      <c r="H12">
        <f>ROUND(C12*Weights!$B$2+D12*Weights!$B$3+E12*Weights!$B$4+F12*Weights!$B$5+G12*Weights!$B$6,1)</f>
        <v/>
      </c>
      <c r="I12">
        <f>VLOOKUP(H12,Scale!$A$2:$B$11,2,TRUE)</f>
        <v/>
      </c>
    </row>
    <row r="13">
      <c r="A13" t="inlineStr">
        <is>
          <t>4418612</t>
        </is>
      </c>
      <c r="B13" t="inlineStr">
        <is>
          <t>Anderson, Steven</t>
        </is>
      </c>
      <c r="C13">
        <f>100*(SUM(Scores!C13:H13)-MIN(Scores!C13:H13))/(COUNTIF(Scores!C13:H13,"&gt;=0")-1)/10</f>
        <v/>
      </c>
      <c r="D13">
        <f>100*SUM(Scores!I13:M13)/(COUNTIF(Scores!I13:M13,"&gt;=0")*20)</f>
        <v/>
      </c>
      <c r="E13">
        <f>100*Scores!N13/50</f>
        <v/>
      </c>
      <c r="F13">
        <f>100*Scores!O13/40</f>
        <v/>
      </c>
      <c r="G13">
        <f>100*Scores!P13/100</f>
        <v/>
      </c>
      <c r="H13">
        <f>ROUND(C13*Weights!$B$2+D13*Weights!$B$3+E13*Weights!$B$4+F13*Weights!$B$5+G13*Weights!$B$6,1)</f>
        <v/>
      </c>
      <c r="I13">
        <f>VLOOKUP(H13,Scale!$A$2:$B$11,2,TRUE)</f>
        <v/>
      </c>
    </row>
    <row r="14">
      <c r="A14" t="inlineStr">
        <is>
          <t>4411301</t>
        </is>
      </c>
      <c r="B14" t="inlineStr">
        <is>
          <t>Rodriguez, Susan</t>
        </is>
      </c>
      <c r="C14">
        <f>100*(SUM(Scores!C14:H14)-MIN(Scores!C14:H14))/(COUNTIF(Scores!C14:H14,"&gt;=0")-1)/10</f>
        <v/>
      </c>
      <c r="D14">
        <f>100*SUM(Scores!I14:M14)/(COUNTIF(Scores!I14:M14,"&gt;=0")*20)</f>
        <v/>
      </c>
      <c r="E14">
        <f>100*Scores!N14/50</f>
        <v/>
      </c>
      <c r="F14">
        <f>100*Scores!O14/40</f>
        <v/>
      </c>
      <c r="G14">
        <f>100*Scores!P14/100</f>
        <v/>
      </c>
      <c r="H14">
        <f>ROUND(C14*Weights!$B$2+D14*Weights!$B$3+E14*Weights!$B$4+F14*Weights!$B$5+G14*Weights!$B$6,1)</f>
        <v/>
      </c>
      <c r="I14">
        <f>VLOOKUP(H14,Scale!$A$2:$B$11,2,TRUE)</f>
        <v/>
      </c>
    </row>
    <row r="15">
      <c r="A15" t="inlineStr">
        <is>
          <t>4418572</t>
        </is>
      </c>
      <c r="B15" t="inlineStr">
        <is>
          <t>Ward, Mark</t>
        </is>
      </c>
      <c r="C15">
        <f>100*(SUM(Scores!C15:H15)-MIN(Scores!C15:H15))/(COUNTIF(Scores!C15:H15,"&gt;=0")-1)/10</f>
        <v/>
      </c>
      <c r="D15">
        <f>100*SUM(Scores!I15:M15)/(COUNTIF(Scores!I15:M15,"&gt;=0")*20)</f>
        <v/>
      </c>
      <c r="E15">
        <f>100*Scores!N15/50</f>
        <v/>
      </c>
      <c r="F15">
        <f>100*Scores!O15/40</f>
        <v/>
      </c>
      <c r="G15">
        <f>100*Scores!P15/100</f>
        <v/>
      </c>
      <c r="H15">
        <f>ROUND(C15*Weights!$B$2+D15*Weights!$B$3+E15*Weights!$B$4+F15*Weights!$B$5+G15*Weights!$B$6,1)</f>
        <v/>
      </c>
      <c r="I15">
        <f>VLOOKUP(H15,Scale!$A$2:$B$11,2,TRUE)</f>
        <v/>
      </c>
    </row>
    <row r="16">
      <c r="A16" t="inlineStr">
        <is>
          <t>4416602</t>
        </is>
      </c>
      <c r="B16" t="inlineStr">
        <is>
          <t>Foster, Jason</t>
        </is>
      </c>
      <c r="C16">
        <f>100*(SUM(Scores!C16:H16)-MIN(Scores!C16:H16))/(COUNTIF(Scores!C16:H16,"&gt;=0")-1)/10</f>
        <v/>
      </c>
      <c r="D16">
        <f>100*SUM(Scores!I16:M16)/(COUNTIF(Scores!I16:M16,"&gt;=0")*20)</f>
        <v/>
      </c>
      <c r="E16">
        <f>100*Scores!N16/50</f>
        <v/>
      </c>
      <c r="F16">
        <f>100*Scores!O16/40</f>
        <v/>
      </c>
      <c r="G16">
        <f>100*Scores!P16/100</f>
        <v/>
      </c>
      <c r="H16">
        <f>ROUND(C16*Weights!$B$2+D16*Weights!$B$3+E16*Weights!$B$4+F16*Weights!$B$5+G16*Weights!$B$6,1)</f>
        <v/>
      </c>
      <c r="I16">
        <f>VLOOKUP(H16,Scale!$A$2:$B$11,2,TRUE)</f>
        <v/>
      </c>
    </row>
    <row r="17">
      <c r="A17" t="inlineStr">
        <is>
          <t>4417008</t>
        </is>
      </c>
      <c r="B17" t="inlineStr">
        <is>
          <t>Turner, Yuki</t>
        </is>
      </c>
      <c r="C17">
        <f>100*(SUM(Scores!C17:H17)-MIN(Scores!C17:H17))/(COUNTIF(Scores!C17:H17,"&gt;=0")-1)/10</f>
        <v/>
      </c>
      <c r="D17">
        <f>100*SUM(Scores!I17:M17)/(COUNTIF(Scores!I17:M17,"&gt;=0")*20)</f>
        <v/>
      </c>
      <c r="E17">
        <f>100*Scores!N17/50</f>
        <v/>
      </c>
      <c r="F17">
        <f>100*Scores!O17/40</f>
        <v/>
      </c>
      <c r="G17">
        <f>100*Scores!P17/100</f>
        <v/>
      </c>
      <c r="H17">
        <f>ROUND(C17*Weights!$B$2+D17*Weights!$B$3+E17*Weights!$B$4+F17*Weights!$B$5+G17*Weights!$B$6,1)</f>
        <v/>
      </c>
      <c r="I17">
        <f>VLOOKUP(H17,Scale!$A$2:$B$11,2,TRUE)</f>
        <v/>
      </c>
    </row>
    <row r="18">
      <c r="A18" t="inlineStr">
        <is>
          <t>4419857</t>
        </is>
      </c>
      <c r="B18" t="inlineStr">
        <is>
          <t>Stewart, Michelle</t>
        </is>
      </c>
      <c r="C18">
        <f>100*(SUM(Scores!C18:H18)-MIN(Scores!C18:H18))/(COUNTIF(Scores!C18:H18,"&gt;=0")-1)/10</f>
        <v/>
      </c>
      <c r="D18">
        <f>100*SUM(Scores!I18:M18)/(COUNTIF(Scores!I18:M18,"&gt;=0")*20)</f>
        <v/>
      </c>
      <c r="E18">
        <f>100*Scores!N18/50</f>
        <v/>
      </c>
      <c r="F18">
        <f>100*Scores!O18/40</f>
        <v/>
      </c>
      <c r="G18">
        <f>100*Scores!P18/100</f>
        <v/>
      </c>
      <c r="H18">
        <f>ROUND(C18*Weights!$B$2+D18*Weights!$B$3+E18*Weights!$B$4+F18*Weights!$B$5+G18*Weights!$B$6,1)</f>
        <v/>
      </c>
      <c r="I18">
        <f>VLOOKUP(H18,Scale!$A$2:$B$11,2,TRUE)</f>
        <v/>
      </c>
    </row>
    <row r="19">
      <c r="A19" t="inlineStr">
        <is>
          <t>4411913</t>
        </is>
      </c>
      <c r="B19" t="inlineStr">
        <is>
          <t>Nelson, Marcus</t>
        </is>
      </c>
      <c r="C19">
        <f>100*(SUM(Scores!C19:H19)-MIN(Scores!C19:H19))/(COUNTIF(Scores!C19:H19,"&gt;=0")-1)/10</f>
        <v/>
      </c>
      <c r="D19">
        <f>100*SUM(Scores!I19:M19)/(COUNTIF(Scores!I19:M19,"&gt;=0")*20)</f>
        <v/>
      </c>
      <c r="E19">
        <f>100*Scores!N19/50</f>
        <v/>
      </c>
      <c r="F19">
        <f>100*Scores!O19/40</f>
        <v/>
      </c>
      <c r="G19">
        <f>100*Scores!P19/100</f>
        <v/>
      </c>
      <c r="H19">
        <f>ROUND(C19*Weights!$B$2+D19*Weights!$B$3+E19*Weights!$B$4+F19*Weights!$B$5+G19*Weights!$B$6,1)</f>
        <v/>
      </c>
      <c r="I19">
        <f>VLOOKUP(H19,Scale!$A$2:$B$11,2,TRUE)</f>
        <v/>
      </c>
    </row>
    <row r="20">
      <c r="A20" t="inlineStr">
        <is>
          <t>4413509</t>
        </is>
      </c>
      <c r="B20" t="inlineStr">
        <is>
          <t>Collins, Thomas</t>
        </is>
      </c>
      <c r="C20">
        <f>100*(SUM(Scores!C20:H20)-MIN(Scores!C20:H20))/(COUNTIF(Scores!C20:H20,"&gt;=0")-1)/10</f>
        <v/>
      </c>
      <c r="D20">
        <f>100*SUM(Scores!I20:M20)/(COUNTIF(Scores!I20:M20,"&gt;=0")*20)</f>
        <v/>
      </c>
      <c r="E20">
        <f>100*Scores!N20/50</f>
        <v/>
      </c>
      <c r="F20">
        <f>100*Scores!O20/40</f>
        <v/>
      </c>
      <c r="G20">
        <f>100*Scores!P20/100</f>
        <v/>
      </c>
      <c r="H20">
        <f>ROUND(C20*Weights!$B$2+D20*Weights!$B$3+E20*Weights!$B$4+F20*Weights!$B$5+G20*Weights!$B$6,1)</f>
        <v/>
      </c>
      <c r="I20">
        <f>VLOOKUP(H20,Scale!$A$2:$B$11,2,TRUE)</f>
        <v/>
      </c>
    </row>
    <row r="21">
      <c r="A21" t="inlineStr">
        <is>
          <t>4414816</t>
        </is>
      </c>
      <c r="B21" t="inlineStr">
        <is>
          <t>Wilson, Jacob</t>
        </is>
      </c>
      <c r="C21">
        <f>100*(SUM(Scores!C21:H21)-MIN(Scores!C21:H21))/(COUNTIF(Scores!C21:H21,"&gt;=0")-1)/10</f>
        <v/>
      </c>
      <c r="D21">
        <f>100*SUM(Scores!I21:M21)/(COUNTIF(Scores!I21:M21,"&gt;=0")*20)</f>
        <v/>
      </c>
      <c r="E21">
        <f>100*Scores!N21/50</f>
        <v/>
      </c>
      <c r="F21">
        <f>100*Scores!O21/40</f>
        <v/>
      </c>
      <c r="G21">
        <f>100*Scores!P21/100</f>
        <v/>
      </c>
      <c r="H21">
        <f>ROUND(C21*Weights!$B$2+D21*Weights!$B$3+E21*Weights!$B$4+F21*Weights!$B$5+G21*Weights!$B$6,1)</f>
        <v/>
      </c>
      <c r="I21">
        <f>VLOOKUP(H21,Scale!$A$2:$B$11,2,TRUE)</f>
        <v/>
      </c>
    </row>
    <row r="22">
      <c r="A22" t="inlineStr">
        <is>
          <t>4413918</t>
        </is>
      </c>
      <c r="B22" t="inlineStr">
        <is>
          <t>Phillips, Hiroshi</t>
        </is>
      </c>
      <c r="C22">
        <f>100*(SUM(Scores!C22:H22)-MIN(Scores!C22:H22))/(COUNTIF(Scores!C22:H22,"&gt;=0")-1)/10</f>
        <v/>
      </c>
      <c r="D22">
        <f>100*SUM(Scores!I22:M22)/(COUNTIF(Scores!I22:M22,"&gt;=0")*20)</f>
        <v/>
      </c>
      <c r="E22">
        <f>100*Scores!N22/50</f>
        <v/>
      </c>
      <c r="F22">
        <f>100*Scores!O22/40</f>
        <v/>
      </c>
      <c r="G22">
        <f>100*Scores!P22/100</f>
        <v/>
      </c>
      <c r="H22">
        <f>ROUND(C22*Weights!$B$2+D22*Weights!$B$3+E22*Weights!$B$4+F22*Weights!$B$5+G22*Weights!$B$6,1)</f>
        <v/>
      </c>
      <c r="I22">
        <f>VLOOKUP(H22,Scale!$A$2:$B$11,2,TRUE)</f>
        <v/>
      </c>
    </row>
    <row r="23">
      <c r="A23" t="inlineStr">
        <is>
          <t>4410951</t>
        </is>
      </c>
      <c r="B23" t="inlineStr">
        <is>
          <t>Mitchell, Cynthia</t>
        </is>
      </c>
      <c r="C23">
        <f>100*(SUM(Scores!C23:H23)-MIN(Scores!C23:H23))/(COUNTIF(Scores!C23:H23,"&gt;=0")-1)/10</f>
        <v/>
      </c>
      <c r="D23">
        <f>100*SUM(Scores!I23:M23)/(COUNTIF(Scores!I23:M23,"&gt;=0")*20)</f>
        <v/>
      </c>
      <c r="E23">
        <f>100*Scores!N23/50</f>
        <v/>
      </c>
      <c r="F23">
        <f>100*Scores!O23/40</f>
        <v/>
      </c>
      <c r="G23">
        <f>100*Scores!P23/100</f>
        <v/>
      </c>
      <c r="H23">
        <f>ROUND(C23*Weights!$B$2+D23*Weights!$B$3+E23*Weights!$B$4+F23*Weights!$B$5+G23*Weights!$B$6,1)</f>
        <v/>
      </c>
      <c r="I23">
        <f>VLOOKUP(H23,Scale!$A$2:$B$11,2,TRUE)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Student ID</t>
        </is>
      </c>
      <c r="B1" s="1" t="inlineStr">
        <is>
          <t>Student</t>
        </is>
      </c>
      <c r="C1" s="1" t="inlineStr">
        <is>
          <t>Quiz 1</t>
        </is>
      </c>
      <c r="D1" s="1" t="inlineStr">
        <is>
          <t>Quiz 2</t>
        </is>
      </c>
      <c r="E1" s="1" t="inlineStr">
        <is>
          <t>Quiz 3</t>
        </is>
      </c>
      <c r="F1" s="1" t="inlineStr">
        <is>
          <t>Quiz 4</t>
        </is>
      </c>
      <c r="G1" s="1" t="inlineStr">
        <is>
          <t>Quiz 5</t>
        </is>
      </c>
      <c r="H1" s="1" t="inlineStr">
        <is>
          <t>Quiz 6</t>
        </is>
      </c>
      <c r="I1" s="1" t="inlineStr">
        <is>
          <t>HW 1</t>
        </is>
      </c>
      <c r="J1" s="1" t="inlineStr">
        <is>
          <t>HW 2</t>
        </is>
      </c>
      <c r="K1" s="1" t="inlineStr">
        <is>
          <t>HW 3</t>
        </is>
      </c>
      <c r="L1" s="1" t="inlineStr">
        <is>
          <t>HW 4</t>
        </is>
      </c>
      <c r="M1" s="1" t="inlineStr">
        <is>
          <t>HW 5</t>
        </is>
      </c>
      <c r="N1" s="1" t="inlineStr">
        <is>
          <t>Midterm</t>
        </is>
      </c>
      <c r="O1" s="1" t="inlineStr">
        <is>
          <t>Project</t>
        </is>
      </c>
      <c r="P1" s="1" t="inlineStr">
        <is>
          <t>Final Exam</t>
        </is>
      </c>
    </row>
    <row r="2">
      <c r="A2" t="inlineStr">
        <is>
          <t>4415108</t>
        </is>
      </c>
      <c r="B2" t="inlineStr">
        <is>
          <t>Ortiz, William</t>
        </is>
      </c>
      <c r="C2" t="n">
        <v>9</v>
      </c>
      <c r="D2" t="n">
        <v>9</v>
      </c>
      <c r="E2" t="n">
        <v>0</v>
      </c>
      <c r="F2" t="n">
        <v>10</v>
      </c>
      <c r="G2" t="n">
        <v>10</v>
      </c>
      <c r="H2" t="n">
        <v>9</v>
      </c>
      <c r="I2" t="n">
        <v>18</v>
      </c>
      <c r="J2" t="n">
        <v>19</v>
      </c>
      <c r="K2" t="n">
        <v>20</v>
      </c>
      <c r="L2" t="n">
        <v>18</v>
      </c>
      <c r="M2" t="n">
        <v>18</v>
      </c>
      <c r="N2" t="n">
        <v>41</v>
      </c>
      <c r="O2" t="n">
        <v>35</v>
      </c>
      <c r="P2" t="n">
        <v>98</v>
      </c>
    </row>
    <row r="3">
      <c r="A3" t="inlineStr">
        <is>
          <t>4414263</t>
        </is>
      </c>
      <c r="B3" t="inlineStr">
        <is>
          <t>Johnson, Ashley</t>
        </is>
      </c>
      <c r="C3" t="n">
        <v>9</v>
      </c>
      <c r="D3" t="n">
        <v>9</v>
      </c>
      <c r="E3" t="n">
        <v>8</v>
      </c>
      <c r="F3" t="n">
        <v>9</v>
      </c>
      <c r="G3" t="n">
        <v>7</v>
      </c>
      <c r="H3" t="n">
        <v>8</v>
      </c>
      <c r="I3" t="n">
        <v>16</v>
      </c>
      <c r="J3" t="n">
        <v>16</v>
      </c>
      <c r="K3" t="n">
        <v>15</v>
      </c>
      <c r="L3" t="n">
        <v>17</v>
      </c>
      <c r="M3" t="n">
        <v>19</v>
      </c>
      <c r="N3" t="n">
        <v>47</v>
      </c>
      <c r="O3" t="n">
        <v>38</v>
      </c>
      <c r="P3" t="n">
        <v>92</v>
      </c>
    </row>
    <row r="4">
      <c r="A4" t="inlineStr">
        <is>
          <t>4414034</t>
        </is>
      </c>
      <c r="B4" t="inlineStr">
        <is>
          <t>Cook, Omar</t>
        </is>
      </c>
      <c r="C4" t="n">
        <v>9</v>
      </c>
      <c r="D4" t="n">
        <v>9</v>
      </c>
      <c r="E4" t="n">
        <v>9</v>
      </c>
      <c r="F4" t="n">
        <v>9</v>
      </c>
      <c r="G4" t="n">
        <v>8</v>
      </c>
      <c r="H4" t="n">
        <v>10</v>
      </c>
      <c r="I4" t="n">
        <v>15</v>
      </c>
      <c r="J4" t="n">
        <v>15</v>
      </c>
      <c r="K4" t="n">
        <v>19</v>
      </c>
      <c r="L4" t="n">
        <v>18</v>
      </c>
      <c r="M4" t="n">
        <v>15</v>
      </c>
      <c r="N4" t="n">
        <v>45</v>
      </c>
      <c r="O4" t="n">
        <v>34</v>
      </c>
      <c r="P4" t="n">
        <v>77</v>
      </c>
    </row>
    <row r="5">
      <c r="A5" t="inlineStr">
        <is>
          <t>4414231</t>
        </is>
      </c>
      <c r="B5" t="inlineStr">
        <is>
          <t>Ruiz, Jonathan</t>
        </is>
      </c>
      <c r="C5" t="n">
        <v>8</v>
      </c>
      <c r="D5" t="n">
        <v>8</v>
      </c>
      <c r="E5" t="n">
        <v>0</v>
      </c>
      <c r="F5" t="n">
        <v>8</v>
      </c>
      <c r="G5" t="n">
        <v>7</v>
      </c>
      <c r="H5" t="n">
        <v>8</v>
      </c>
      <c r="I5" t="n">
        <v>18</v>
      </c>
      <c r="J5" t="n">
        <v>16</v>
      </c>
      <c r="K5" t="n">
        <v>17</v>
      </c>
      <c r="L5" t="n">
        <v>15</v>
      </c>
      <c r="M5" t="n">
        <v>18</v>
      </c>
      <c r="N5" t="n">
        <v>45</v>
      </c>
      <c r="O5" t="n">
        <v>32</v>
      </c>
      <c r="P5" t="n">
        <v>75</v>
      </c>
    </row>
    <row r="6">
      <c r="A6" t="inlineStr">
        <is>
          <t>4414825</t>
        </is>
      </c>
      <c r="B6" t="inlineStr">
        <is>
          <t>Perez, Chloe</t>
        </is>
      </c>
      <c r="C6" t="n">
        <v>10</v>
      </c>
      <c r="D6" t="n">
        <v>8</v>
      </c>
      <c r="E6" t="n">
        <v>10</v>
      </c>
      <c r="F6" t="n">
        <v>10</v>
      </c>
      <c r="G6" t="n">
        <v>10</v>
      </c>
      <c r="H6" t="n">
        <v>10</v>
      </c>
      <c r="I6" t="n">
        <v>19</v>
      </c>
      <c r="J6" t="n">
        <v>20</v>
      </c>
      <c r="K6" t="n">
        <v>0</v>
      </c>
      <c r="L6" t="inlineStr">
        <is>
          <t>EX</t>
        </is>
      </c>
      <c r="M6" t="n">
        <v>17</v>
      </c>
      <c r="N6" t="n">
        <v>45</v>
      </c>
      <c r="O6" t="n">
        <v>40</v>
      </c>
      <c r="P6" t="n">
        <v>100</v>
      </c>
    </row>
    <row r="7">
      <c r="A7" t="inlineStr">
        <is>
          <t>4411439</t>
        </is>
      </c>
      <c r="B7" t="inlineStr">
        <is>
          <t>Wright, Carol</t>
        </is>
      </c>
      <c r="C7" t="n">
        <v>9</v>
      </c>
      <c r="D7" t="n">
        <v>9</v>
      </c>
      <c r="E7" t="n">
        <v>9</v>
      </c>
      <c r="F7" t="n">
        <v>8</v>
      </c>
      <c r="G7" t="n">
        <v>10</v>
      </c>
      <c r="H7" t="n">
        <v>9</v>
      </c>
      <c r="I7" t="n">
        <v>16</v>
      </c>
      <c r="J7" t="n">
        <v>20</v>
      </c>
      <c r="K7" t="n">
        <v>19</v>
      </c>
      <c r="L7" t="n">
        <v>16</v>
      </c>
      <c r="M7" t="n">
        <v>19</v>
      </c>
      <c r="N7" t="n">
        <v>49</v>
      </c>
      <c r="O7" t="n">
        <v>34</v>
      </c>
      <c r="P7" t="n">
        <v>90</v>
      </c>
    </row>
    <row r="8">
      <c r="A8" t="inlineStr">
        <is>
          <t>4414943</t>
        </is>
      </c>
      <c r="B8" t="inlineStr">
        <is>
          <t>Price, George</t>
        </is>
      </c>
      <c r="C8" t="n">
        <v>7</v>
      </c>
      <c r="D8" t="n">
        <v>6</v>
      </c>
      <c r="E8" t="n">
        <v>6</v>
      </c>
      <c r="F8" t="n">
        <v>7</v>
      </c>
      <c r="G8" t="n">
        <v>5</v>
      </c>
      <c r="H8" t="n">
        <v>7</v>
      </c>
      <c r="I8" t="n">
        <v>11</v>
      </c>
      <c r="J8" t="n">
        <v>13</v>
      </c>
      <c r="K8" t="n">
        <v>12</v>
      </c>
      <c r="L8" t="n">
        <v>11</v>
      </c>
      <c r="M8" t="n">
        <v>14</v>
      </c>
      <c r="N8" t="n">
        <v>33</v>
      </c>
      <c r="O8" t="n">
        <v>39</v>
      </c>
      <c r="P8" t="n">
        <v>62</v>
      </c>
    </row>
    <row r="9">
      <c r="A9" t="inlineStr">
        <is>
          <t>4413361</t>
        </is>
      </c>
      <c r="B9" t="inlineStr">
        <is>
          <t>Cox, Jennifer</t>
        </is>
      </c>
      <c r="C9" t="n">
        <v>9</v>
      </c>
      <c r="D9" t="n">
        <v>10</v>
      </c>
      <c r="E9" t="n">
        <v>8</v>
      </c>
      <c r="F9" t="n">
        <v>8</v>
      </c>
      <c r="G9" t="n">
        <v>8</v>
      </c>
      <c r="H9" t="n">
        <v>8</v>
      </c>
      <c r="I9" t="n">
        <v>15</v>
      </c>
      <c r="J9" t="n">
        <v>16</v>
      </c>
      <c r="K9" t="n">
        <v>17</v>
      </c>
      <c r="L9" t="n">
        <v>19</v>
      </c>
      <c r="M9" t="n">
        <v>18</v>
      </c>
      <c r="N9" t="n">
        <v>39</v>
      </c>
      <c r="O9" t="n">
        <v>35</v>
      </c>
      <c r="P9" t="n">
        <v>92</v>
      </c>
    </row>
    <row r="10">
      <c r="A10" t="inlineStr">
        <is>
          <t>4410357</t>
        </is>
      </c>
      <c r="B10" t="inlineStr">
        <is>
          <t>Jackson, Gary</t>
        </is>
      </c>
      <c r="C10" t="n">
        <v>9</v>
      </c>
      <c r="D10" t="n">
        <v>10</v>
      </c>
      <c r="E10" t="n">
        <v>10</v>
      </c>
      <c r="F10" t="n">
        <v>9</v>
      </c>
      <c r="G10" t="n">
        <v>10</v>
      </c>
      <c r="H10" t="n">
        <v>10</v>
      </c>
      <c r="I10" t="n">
        <v>18</v>
      </c>
      <c r="J10" t="n">
        <v>19</v>
      </c>
      <c r="K10" t="n">
        <v>20</v>
      </c>
      <c r="L10" t="n">
        <v>20</v>
      </c>
      <c r="M10" t="n">
        <v>20</v>
      </c>
      <c r="N10" t="n">
        <v>47</v>
      </c>
      <c r="O10" t="n">
        <v>40</v>
      </c>
      <c r="P10" t="n">
        <v>96</v>
      </c>
    </row>
    <row r="11">
      <c r="A11" t="inlineStr">
        <is>
          <t>4410140</t>
        </is>
      </c>
      <c r="B11" t="inlineStr">
        <is>
          <t>Hall, Amara</t>
        </is>
      </c>
      <c r="C11" t="n">
        <v>8</v>
      </c>
      <c r="D11" t="n">
        <v>7</v>
      </c>
      <c r="E11" t="n">
        <v>8</v>
      </c>
      <c r="F11" t="n">
        <v>8</v>
      </c>
      <c r="G11" t="n">
        <v>9</v>
      </c>
      <c r="H11" t="n">
        <v>8</v>
      </c>
      <c r="I11" t="n">
        <v>16</v>
      </c>
      <c r="J11" t="n">
        <v>16</v>
      </c>
      <c r="K11" t="n">
        <v>16</v>
      </c>
      <c r="L11" t="n">
        <v>17</v>
      </c>
      <c r="M11" t="n">
        <v>16</v>
      </c>
      <c r="N11" t="n">
        <v>37</v>
      </c>
      <c r="O11" t="n">
        <v>27</v>
      </c>
      <c r="P11" t="n">
        <v>89</v>
      </c>
    </row>
    <row r="12">
      <c r="A12" t="inlineStr">
        <is>
          <t>4411749</t>
        </is>
      </c>
      <c r="B12" t="inlineStr">
        <is>
          <t>Myers, Sofia</t>
        </is>
      </c>
      <c r="C12" t="n">
        <v>9</v>
      </c>
      <c r="D12" t="n">
        <v>10</v>
      </c>
      <c r="E12" t="n">
        <v>9</v>
      </c>
      <c r="F12" t="n">
        <v>9</v>
      </c>
      <c r="G12" t="n">
        <v>8</v>
      </c>
      <c r="H12" t="n">
        <v>10</v>
      </c>
      <c r="I12" t="n">
        <v>20</v>
      </c>
      <c r="J12" t="n">
        <v>17</v>
      </c>
      <c r="K12" t="inlineStr">
        <is>
          <t>EX</t>
        </is>
      </c>
      <c r="L12" t="n">
        <v>20</v>
      </c>
      <c r="M12" t="n">
        <v>20</v>
      </c>
      <c r="N12" t="n">
        <v>42</v>
      </c>
      <c r="O12" t="n">
        <v>40</v>
      </c>
      <c r="P12" t="n">
        <v>88</v>
      </c>
    </row>
    <row r="13">
      <c r="A13" t="inlineStr">
        <is>
          <t>4418612</t>
        </is>
      </c>
      <c r="B13" t="inlineStr">
        <is>
          <t>Anderson, Steven</t>
        </is>
      </c>
      <c r="C13" t="n">
        <v>7</v>
      </c>
      <c r="D13" t="n">
        <v>7</v>
      </c>
      <c r="E13" t="n">
        <v>6</v>
      </c>
      <c r="F13" t="n">
        <v>6</v>
      </c>
      <c r="G13" t="n">
        <v>6</v>
      </c>
      <c r="H13" t="n">
        <v>7</v>
      </c>
      <c r="I13" t="n">
        <v>11</v>
      </c>
      <c r="J13" t="n">
        <v>13</v>
      </c>
      <c r="K13" t="n">
        <v>12</v>
      </c>
      <c r="L13" t="n">
        <v>12</v>
      </c>
      <c r="M13" t="n">
        <v>13</v>
      </c>
      <c r="N13" t="n">
        <v>27</v>
      </c>
      <c r="O13" t="n">
        <v>27</v>
      </c>
      <c r="P13" t="n">
        <v>62</v>
      </c>
    </row>
    <row r="14">
      <c r="A14" t="inlineStr">
        <is>
          <t>4411301</t>
        </is>
      </c>
      <c r="B14" t="inlineStr">
        <is>
          <t>Rodriguez, Susan</t>
        </is>
      </c>
      <c r="C14" t="n">
        <v>8</v>
      </c>
      <c r="D14" t="n">
        <v>9</v>
      </c>
      <c r="E14" t="n">
        <v>8</v>
      </c>
      <c r="F14" t="n">
        <v>8</v>
      </c>
      <c r="G14" t="n">
        <v>9</v>
      </c>
      <c r="H14" t="n">
        <v>8</v>
      </c>
      <c r="I14" t="n">
        <v>17</v>
      </c>
      <c r="J14" t="n">
        <v>0</v>
      </c>
      <c r="K14" t="n">
        <v>17</v>
      </c>
      <c r="L14" t="n">
        <v>0</v>
      </c>
      <c r="M14" t="n">
        <v>16</v>
      </c>
      <c r="N14" t="n">
        <v>44</v>
      </c>
      <c r="O14" t="n">
        <v>32</v>
      </c>
      <c r="P14" t="n">
        <v>83</v>
      </c>
    </row>
    <row r="15">
      <c r="A15" t="inlineStr">
        <is>
          <t>4418572</t>
        </is>
      </c>
      <c r="B15" t="inlineStr">
        <is>
          <t>Ward, Mark</t>
        </is>
      </c>
      <c r="C15" t="n">
        <v>9</v>
      </c>
      <c r="D15" t="n">
        <v>8</v>
      </c>
      <c r="E15" t="n">
        <v>8</v>
      </c>
      <c r="F15" t="n">
        <v>8</v>
      </c>
      <c r="G15" t="n">
        <v>9</v>
      </c>
      <c r="H15" t="n">
        <v>8</v>
      </c>
      <c r="I15" t="n">
        <v>17</v>
      </c>
      <c r="J15" t="n">
        <v>16</v>
      </c>
      <c r="K15" t="n">
        <v>18</v>
      </c>
      <c r="L15" t="n">
        <v>17</v>
      </c>
      <c r="M15" t="n">
        <v>19</v>
      </c>
      <c r="N15" t="n">
        <v>47</v>
      </c>
      <c r="O15" t="n">
        <v>31</v>
      </c>
      <c r="P15" t="n">
        <v>94</v>
      </c>
    </row>
    <row r="16">
      <c r="A16" t="inlineStr">
        <is>
          <t>4416602</t>
        </is>
      </c>
      <c r="B16" t="inlineStr">
        <is>
          <t>Foster, Jason</t>
        </is>
      </c>
      <c r="C16" t="n">
        <v>8</v>
      </c>
      <c r="D16" t="n">
        <v>0</v>
      </c>
      <c r="E16" t="n">
        <v>7</v>
      </c>
      <c r="F16" t="inlineStr">
        <is>
          <t>EX</t>
        </is>
      </c>
      <c r="G16" t="n">
        <v>8</v>
      </c>
      <c r="H16" t="n">
        <v>7</v>
      </c>
      <c r="I16" t="n">
        <v>13</v>
      </c>
      <c r="J16" t="n">
        <v>13</v>
      </c>
      <c r="K16" t="n">
        <v>15</v>
      </c>
      <c r="L16" t="n">
        <v>13</v>
      </c>
      <c r="M16" t="n">
        <v>15</v>
      </c>
      <c r="N16" t="n">
        <v>37</v>
      </c>
      <c r="O16" t="n">
        <v>32</v>
      </c>
      <c r="P16" t="n">
        <v>61</v>
      </c>
    </row>
    <row r="17">
      <c r="A17" t="inlineStr">
        <is>
          <t>4417008</t>
        </is>
      </c>
      <c r="B17" t="inlineStr">
        <is>
          <t>Turner, Yuki</t>
        </is>
      </c>
      <c r="C17" t="n">
        <v>5</v>
      </c>
      <c r="D17" t="n">
        <v>6</v>
      </c>
      <c r="E17" t="n">
        <v>6</v>
      </c>
      <c r="F17" t="n">
        <v>5</v>
      </c>
      <c r="G17" t="n">
        <v>5</v>
      </c>
      <c r="H17" t="n">
        <v>6</v>
      </c>
      <c r="I17" t="n">
        <v>11</v>
      </c>
      <c r="J17" t="n">
        <v>11</v>
      </c>
      <c r="K17" t="inlineStr">
        <is>
          <t>EX</t>
        </is>
      </c>
      <c r="L17" t="n">
        <v>10</v>
      </c>
      <c r="M17" t="n">
        <v>12</v>
      </c>
      <c r="N17" t="n">
        <v>34</v>
      </c>
      <c r="O17" t="n">
        <v>19</v>
      </c>
      <c r="P17" t="n">
        <v>62</v>
      </c>
    </row>
    <row r="18">
      <c r="A18" t="inlineStr">
        <is>
          <t>4419857</t>
        </is>
      </c>
      <c r="B18" t="inlineStr">
        <is>
          <t>Stewart, Michelle</t>
        </is>
      </c>
      <c r="C18" t="n">
        <v>9</v>
      </c>
      <c r="D18" t="n">
        <v>10</v>
      </c>
      <c r="E18" t="n">
        <v>8</v>
      </c>
      <c r="F18" t="n">
        <v>0</v>
      </c>
      <c r="G18" t="n">
        <v>10</v>
      </c>
      <c r="H18" t="n">
        <v>10</v>
      </c>
      <c r="I18" t="n">
        <v>20</v>
      </c>
      <c r="J18" t="n">
        <v>20</v>
      </c>
      <c r="K18" t="n">
        <v>19</v>
      </c>
      <c r="L18" t="n">
        <v>20</v>
      </c>
      <c r="M18" t="n">
        <v>18</v>
      </c>
      <c r="N18" t="n">
        <v>44</v>
      </c>
      <c r="O18" t="n">
        <v>33</v>
      </c>
      <c r="P18" t="n">
        <v>100</v>
      </c>
    </row>
    <row r="19">
      <c r="A19" t="inlineStr">
        <is>
          <t>4411913</t>
        </is>
      </c>
      <c r="B19" t="inlineStr">
        <is>
          <t>Nelson, Marcus</t>
        </is>
      </c>
      <c r="C19" t="n">
        <v>8</v>
      </c>
      <c r="D19" t="n">
        <v>9</v>
      </c>
      <c r="E19" t="n">
        <v>9</v>
      </c>
      <c r="F19" t="n">
        <v>0</v>
      </c>
      <c r="G19" t="n">
        <v>8</v>
      </c>
      <c r="H19" t="n">
        <v>9</v>
      </c>
      <c r="I19" t="n">
        <v>18</v>
      </c>
      <c r="J19" t="n">
        <v>15</v>
      </c>
      <c r="K19" t="n">
        <v>18</v>
      </c>
      <c r="L19" t="n">
        <v>15</v>
      </c>
      <c r="M19" t="n">
        <v>19</v>
      </c>
      <c r="N19" t="n">
        <v>41</v>
      </c>
      <c r="O19" t="n">
        <v>38</v>
      </c>
      <c r="P19" t="n">
        <v>94</v>
      </c>
    </row>
    <row r="20">
      <c r="A20" t="inlineStr">
        <is>
          <t>4413509</t>
        </is>
      </c>
      <c r="B20" t="inlineStr">
        <is>
          <t>Collins, Thomas</t>
        </is>
      </c>
      <c r="C20" t="n">
        <v>5</v>
      </c>
      <c r="D20" t="n">
        <v>5</v>
      </c>
      <c r="E20" t="n">
        <v>5</v>
      </c>
      <c r="F20" t="n">
        <v>6</v>
      </c>
      <c r="G20" t="n">
        <v>5</v>
      </c>
      <c r="H20" t="n">
        <v>5</v>
      </c>
      <c r="I20" t="n">
        <v>12</v>
      </c>
      <c r="J20" t="n">
        <v>11</v>
      </c>
      <c r="K20" t="n">
        <v>11</v>
      </c>
      <c r="L20" t="n">
        <v>12</v>
      </c>
      <c r="M20" t="n">
        <v>11</v>
      </c>
      <c r="N20" t="n">
        <v>30</v>
      </c>
      <c r="O20" t="n">
        <v>26</v>
      </c>
      <c r="P20" t="n">
        <v>59</v>
      </c>
    </row>
    <row r="21">
      <c r="A21" t="inlineStr">
        <is>
          <t>4414816</t>
        </is>
      </c>
      <c r="B21" t="inlineStr">
        <is>
          <t>Wilson, Jacob</t>
        </is>
      </c>
      <c r="C21" t="n">
        <v>8</v>
      </c>
      <c r="D21" t="n">
        <v>9</v>
      </c>
      <c r="E21" t="n">
        <v>8</v>
      </c>
      <c r="F21" t="n">
        <v>9</v>
      </c>
      <c r="G21" t="n">
        <v>9</v>
      </c>
      <c r="H21" t="n">
        <v>9</v>
      </c>
      <c r="I21" t="n">
        <v>18</v>
      </c>
      <c r="J21" t="n">
        <v>17</v>
      </c>
      <c r="K21" t="n">
        <v>18</v>
      </c>
      <c r="L21" t="n">
        <v>15</v>
      </c>
      <c r="M21" t="n">
        <v>17</v>
      </c>
      <c r="N21" t="n">
        <v>42</v>
      </c>
      <c r="O21" t="n">
        <v>36</v>
      </c>
      <c r="P21" t="n">
        <v>82</v>
      </c>
    </row>
    <row r="22">
      <c r="A22" t="inlineStr">
        <is>
          <t>4413918</t>
        </is>
      </c>
      <c r="B22" t="inlineStr">
        <is>
          <t>Phillips, Hiroshi</t>
        </is>
      </c>
      <c r="C22" t="n">
        <v>7</v>
      </c>
      <c r="D22" t="n">
        <v>7</v>
      </c>
      <c r="E22" t="n">
        <v>7</v>
      </c>
      <c r="F22" t="n">
        <v>6</v>
      </c>
      <c r="G22" t="n">
        <v>7</v>
      </c>
      <c r="H22" t="n">
        <v>5</v>
      </c>
      <c r="I22" t="n">
        <v>13</v>
      </c>
      <c r="J22" t="n">
        <v>12</v>
      </c>
      <c r="K22" t="n">
        <v>14</v>
      </c>
      <c r="L22" t="n">
        <v>10</v>
      </c>
      <c r="M22" t="n">
        <v>14</v>
      </c>
      <c r="N22" t="n">
        <v>32</v>
      </c>
      <c r="O22" t="n">
        <v>20</v>
      </c>
      <c r="P22" t="n">
        <v>62</v>
      </c>
    </row>
    <row r="23">
      <c r="A23" t="inlineStr">
        <is>
          <t>4410951</t>
        </is>
      </c>
      <c r="B23" t="inlineStr">
        <is>
          <t>Mitchell, Cynthia</t>
        </is>
      </c>
      <c r="C23" t="n">
        <v>8</v>
      </c>
      <c r="D23" t="n">
        <v>8</v>
      </c>
      <c r="E23" t="n">
        <v>7</v>
      </c>
      <c r="F23" t="n">
        <v>8</v>
      </c>
      <c r="G23" t="n">
        <v>3</v>
      </c>
      <c r="H23" t="n">
        <v>7</v>
      </c>
      <c r="I23" t="n">
        <v>16</v>
      </c>
      <c r="J23" t="n">
        <v>16</v>
      </c>
      <c r="K23" t="n">
        <v>14</v>
      </c>
      <c r="L23" t="n">
        <v>17</v>
      </c>
      <c r="M23" t="n">
        <v>14</v>
      </c>
      <c r="N23" t="n">
        <v>34</v>
      </c>
      <c r="O23" t="n">
        <v>29</v>
      </c>
      <c r="P23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Weight</t>
        </is>
      </c>
    </row>
    <row r="2">
      <c r="A2" t="inlineStr">
        <is>
          <t>Quizzes</t>
        </is>
      </c>
      <c r="B2" t="n">
        <v>0.15</v>
      </c>
    </row>
    <row r="3">
      <c r="A3" t="inlineStr">
        <is>
          <t>Homework</t>
        </is>
      </c>
      <c r="B3" t="n">
        <v>0.25</v>
      </c>
    </row>
    <row r="4">
      <c r="A4" t="inlineStr">
        <is>
          <t>Midterm</t>
        </is>
      </c>
      <c r="B4" t="n">
        <v>0.2</v>
      </c>
    </row>
    <row r="5">
      <c r="A5" t="inlineStr">
        <is>
          <t>Project</t>
        </is>
      </c>
      <c r="B5" t="n">
        <v>0.1</v>
      </c>
    </row>
    <row r="6">
      <c r="A6" t="inlineStr">
        <is>
          <t>Final Exam</t>
        </is>
      </c>
      <c r="B6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 %</t>
        </is>
      </c>
      <c r="B1" s="1" t="inlineStr">
        <is>
          <t>Letter</t>
        </is>
      </c>
    </row>
    <row r="2">
      <c r="A2" t="n">
        <v>0</v>
      </c>
      <c r="B2" t="inlineStr">
        <is>
          <t>F</t>
        </is>
      </c>
    </row>
    <row r="3">
      <c r="A3" t="n">
        <v>60</v>
      </c>
      <c r="B3" t="inlineStr">
        <is>
          <t>D</t>
        </is>
      </c>
    </row>
    <row r="4">
      <c r="A4" t="n">
        <v>70</v>
      </c>
      <c r="B4" t="inlineStr">
        <is>
          <t>C-</t>
        </is>
      </c>
    </row>
    <row r="5">
      <c r="A5" t="n">
        <v>73</v>
      </c>
      <c r="B5" t="inlineStr">
        <is>
          <t>C</t>
        </is>
      </c>
    </row>
    <row r="6">
      <c r="A6" t="n">
        <v>77</v>
      </c>
      <c r="B6" t="inlineStr">
        <is>
          <t>C+</t>
        </is>
      </c>
    </row>
    <row r="7">
      <c r="A7" t="n">
        <v>80</v>
      </c>
      <c r="B7" t="inlineStr">
        <is>
          <t>B-</t>
        </is>
      </c>
    </row>
    <row r="8">
      <c r="A8" t="n">
        <v>83</v>
      </c>
      <c r="B8" t="inlineStr">
        <is>
          <t>B</t>
        </is>
      </c>
    </row>
    <row r="9">
      <c r="A9" t="n">
        <v>87</v>
      </c>
      <c r="B9" t="inlineStr">
        <is>
          <t>B+</t>
        </is>
      </c>
    </row>
    <row r="10">
      <c r="A10" t="n">
        <v>90</v>
      </c>
      <c r="B10" t="inlineStr">
        <is>
          <t>A-</t>
        </is>
      </c>
    </row>
    <row r="11">
      <c r="A11" t="n">
        <v>93</v>
      </c>
      <c r="B1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