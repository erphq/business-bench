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Contr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20" customWidth="1" min="5" max="5"/>
    <col width="24" customWidth="1" min="6" max="6"/>
  </cols>
  <sheetData>
    <row r="1">
      <c r="A1" s="1" t="inlineStr">
        <is>
          <t>Month</t>
        </is>
      </c>
      <c r="B1" s="1" t="inlineStr">
        <is>
          <t>Opening deferred revenue</t>
        </is>
      </c>
      <c r="C1" s="1" t="inlineStr">
        <is>
          <t>Invoiced</t>
        </is>
      </c>
      <c r="D1" s="1" t="inlineStr">
        <is>
          <t>Refunded</t>
        </is>
      </c>
      <c r="E1" s="1" t="inlineStr">
        <is>
          <t>Revenue recognized</t>
        </is>
      </c>
      <c r="F1" s="1" t="inlineStr">
        <is>
          <t>Closing deferred revenue</t>
        </is>
      </c>
    </row>
    <row r="2">
      <c r="A2" t="inlineStr">
        <is>
          <t>2026-01</t>
        </is>
      </c>
      <c r="B2" s="2" t="n">
        <v>17370</v>
      </c>
      <c r="C2" s="2" t="n">
        <v>2988</v>
      </c>
      <c r="D2" s="2" t="n">
        <v>0</v>
      </c>
      <c r="E2">
        <f>Contracts!G19</f>
        <v/>
      </c>
      <c r="F2">
        <f>B2+C2-D2-E2</f>
        <v/>
      </c>
    </row>
    <row r="3">
      <c r="A3" t="inlineStr">
        <is>
          <t>2026-02</t>
        </is>
      </c>
      <c r="B3">
        <f>F2</f>
        <v/>
      </c>
      <c r="C3" s="2" t="n">
        <v>26964</v>
      </c>
      <c r="D3" s="2" t="n">
        <v>0</v>
      </c>
      <c r="E3">
        <f>Contracts!H19</f>
        <v/>
      </c>
      <c r="F3">
        <f>B3+C3-D3-E3</f>
        <v/>
      </c>
    </row>
    <row r="4">
      <c r="A4" t="inlineStr">
        <is>
          <t>2026-03</t>
        </is>
      </c>
      <c r="B4">
        <f>F3</f>
        <v/>
      </c>
      <c r="C4" s="2" t="n">
        <v>10788</v>
      </c>
      <c r="D4" s="2" t="n">
        <v>0</v>
      </c>
      <c r="E4">
        <f>Contracts!I19</f>
        <v/>
      </c>
      <c r="F4">
        <f>B4+C4-D4-E4</f>
        <v/>
      </c>
    </row>
    <row r="5">
      <c r="A5" t="inlineStr">
        <is>
          <t>2026-04</t>
        </is>
      </c>
      <c r="B5">
        <f>F4</f>
        <v/>
      </c>
      <c r="C5" s="2" t="n">
        <v>11964</v>
      </c>
      <c r="D5" s="2" t="n">
        <v>0</v>
      </c>
      <c r="E5">
        <f>Contracts!J19</f>
        <v/>
      </c>
      <c r="F5">
        <f>B5+C5-D5-E5</f>
        <v/>
      </c>
    </row>
    <row r="6">
      <c r="A6" t="inlineStr">
        <is>
          <t>2026-05</t>
        </is>
      </c>
      <c r="B6">
        <f>F5</f>
        <v/>
      </c>
      <c r="C6" s="2" t="n">
        <v>0</v>
      </c>
      <c r="D6" s="2" t="n">
        <v>0</v>
      </c>
      <c r="E6">
        <f>Contracts!K19</f>
        <v/>
      </c>
      <c r="F6">
        <f>B6+C6-D6-E6</f>
        <v/>
      </c>
    </row>
    <row r="7">
      <c r="A7" t="inlineStr">
        <is>
          <t>2026-06</t>
        </is>
      </c>
      <c r="B7">
        <f>F6</f>
        <v/>
      </c>
      <c r="C7" s="2" t="n">
        <v>13776</v>
      </c>
      <c r="D7" s="2" t="n">
        <v>0</v>
      </c>
      <c r="E7">
        <f>Contracts!L19</f>
        <v/>
      </c>
      <c r="F7">
        <f>B7+C7-D7-E7</f>
        <v/>
      </c>
    </row>
    <row r="8">
      <c r="A8" t="inlineStr">
        <is>
          <t>2026-07</t>
        </is>
      </c>
      <c r="B8">
        <f>F7</f>
        <v/>
      </c>
      <c r="C8" s="2" t="n">
        <v>16776</v>
      </c>
      <c r="D8" s="2" t="n">
        <v>0</v>
      </c>
      <c r="E8">
        <f>Contracts!M19</f>
        <v/>
      </c>
      <c r="F8">
        <f>B8+C8-D8-E8</f>
        <v/>
      </c>
    </row>
    <row r="9">
      <c r="A9" t="inlineStr">
        <is>
          <t>2026-08</t>
        </is>
      </c>
      <c r="B9">
        <f>F8</f>
        <v/>
      </c>
      <c r="C9" s="2" t="n">
        <v>2800</v>
      </c>
      <c r="D9" s="2" t="n">
        <v>0</v>
      </c>
      <c r="E9">
        <f>Contracts!N19</f>
        <v/>
      </c>
      <c r="F9">
        <f>B9+C9-D9-E9</f>
        <v/>
      </c>
    </row>
    <row r="10">
      <c r="A10" t="inlineStr">
        <is>
          <t>2026-09</t>
        </is>
      </c>
      <c r="B10">
        <f>F9</f>
        <v/>
      </c>
      <c r="C10" s="2" t="n">
        <v>0</v>
      </c>
      <c r="D10" s="2" t="n">
        <v>7245</v>
      </c>
      <c r="E10">
        <f>Contracts!O19</f>
        <v/>
      </c>
      <c r="F10">
        <f>B10+C10-D10-E10</f>
        <v/>
      </c>
    </row>
    <row r="11">
      <c r="A11" t="inlineStr">
        <is>
          <t>2026-10</t>
        </is>
      </c>
      <c r="B11">
        <f>F10</f>
        <v/>
      </c>
      <c r="C11" s="2" t="n">
        <v>0</v>
      </c>
      <c r="D11" s="2" t="n">
        <v>0</v>
      </c>
      <c r="E11">
        <f>Contracts!P19</f>
        <v/>
      </c>
      <c r="F11">
        <f>B11+C11-D11-E11</f>
        <v/>
      </c>
    </row>
    <row r="12">
      <c r="A12" t="inlineStr">
        <is>
          <t>2026-11</t>
        </is>
      </c>
      <c r="B12">
        <f>F11</f>
        <v/>
      </c>
      <c r="C12" s="2" t="n">
        <v>17988</v>
      </c>
      <c r="D12" s="2" t="n">
        <v>0</v>
      </c>
      <c r="E12">
        <f>Contracts!Q19</f>
        <v/>
      </c>
      <c r="F12">
        <f>B12+C12-D12-E12</f>
        <v/>
      </c>
    </row>
    <row r="13">
      <c r="A13" t="inlineStr">
        <is>
          <t>2026-12</t>
        </is>
      </c>
      <c r="B13">
        <f>F12</f>
        <v/>
      </c>
      <c r="C13" s="2" t="n">
        <v>2988</v>
      </c>
      <c r="D13" s="2" t="n">
        <v>0</v>
      </c>
      <c r="E13">
        <f>Contracts!R19</f>
        <v/>
      </c>
      <c r="F13">
        <f>B13+C13-D13-E13</f>
        <v/>
      </c>
    </row>
    <row r="14">
      <c r="A14" t="inlineStr">
        <is>
          <t>Total 2026</t>
        </is>
      </c>
      <c r="C14">
        <f>SUM(C2:C13)</f>
        <v/>
      </c>
      <c r="D14">
        <f>SUM(D2:D13)</f>
        <v/>
      </c>
      <c r="E14">
        <f>SUM(E2:E13)</f>
        <v/>
      </c>
      <c r="F14">
        <f>F13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Contract</t>
        </is>
      </c>
      <c r="B1" s="1" t="inlineStr">
        <is>
          <t>Customer</t>
        </is>
      </c>
      <c r="C1" s="1" t="inlineStr">
        <is>
          <t>Annual fee</t>
        </is>
      </c>
      <c r="D1" s="1" t="inlineStr">
        <is>
          <t>Upgrade add-on</t>
        </is>
      </c>
      <c r="E1" s="1" t="inlineStr">
        <is>
          <t>Refund</t>
        </is>
      </c>
      <c r="F1" s="1" t="inlineStr">
        <is>
          <t>Earned before 2026</t>
        </is>
      </c>
      <c r="G1" s="1" t="inlineStr">
        <is>
          <t>2026-01</t>
        </is>
      </c>
      <c r="H1" s="1" t="inlineStr">
        <is>
          <t>2026-02</t>
        </is>
      </c>
      <c r="I1" s="1" t="inlineStr">
        <is>
          <t>2026-03</t>
        </is>
      </c>
      <c r="J1" s="1" t="inlineStr">
        <is>
          <t>2026-04</t>
        </is>
      </c>
      <c r="K1" s="1" t="inlineStr">
        <is>
          <t>2026-05</t>
        </is>
      </c>
      <c r="L1" s="1" t="inlineStr">
        <is>
          <t>2026-06</t>
        </is>
      </c>
      <c r="M1" s="1" t="inlineStr">
        <is>
          <t>2026-07</t>
        </is>
      </c>
      <c r="N1" s="1" t="inlineStr">
        <is>
          <t>2026-08</t>
        </is>
      </c>
      <c r="O1" s="1" t="inlineStr">
        <is>
          <t>2026-09</t>
        </is>
      </c>
      <c r="P1" s="1" t="inlineStr">
        <is>
          <t>2026-10</t>
        </is>
      </c>
      <c r="Q1" s="1" t="inlineStr">
        <is>
          <t>2026-11</t>
        </is>
      </c>
      <c r="R1" s="1" t="inlineStr">
        <is>
          <t>2026-12</t>
        </is>
      </c>
      <c r="S1" s="1" t="inlineStr">
        <is>
          <t>2026 recognized</t>
        </is>
      </c>
      <c r="T1" s="1" t="inlineStr">
        <is>
          <t>Deferred at 2026-12-31</t>
        </is>
      </c>
    </row>
    <row r="2">
      <c r="A2" t="inlineStr">
        <is>
          <t>TD-2047</t>
        </is>
      </c>
      <c r="B2" t="inlineStr">
        <is>
          <t>Westside Tow &amp; Storage</t>
        </is>
      </c>
      <c r="C2" s="2" t="n">
        <v>5988</v>
      </c>
      <c r="D2" s="2" t="n">
        <v>0</v>
      </c>
      <c r="E2" s="2" t="n">
        <v>0</v>
      </c>
      <c r="F2" s="2" t="n">
        <v>499</v>
      </c>
      <c r="G2" s="2" t="n">
        <v>499</v>
      </c>
      <c r="H2" s="2" t="n">
        <v>499</v>
      </c>
      <c r="I2" s="2" t="n">
        <v>499</v>
      </c>
      <c r="J2" s="2" t="n">
        <v>499</v>
      </c>
      <c r="K2" s="2" t="n">
        <v>499</v>
      </c>
      <c r="L2" s="2" t="n">
        <v>499</v>
      </c>
      <c r="M2" s="2" t="n">
        <v>499</v>
      </c>
      <c r="N2" s="2" t="n">
        <v>499</v>
      </c>
      <c r="O2" s="2" t="n">
        <v>499</v>
      </c>
      <c r="P2" s="2" t="n">
        <v>499</v>
      </c>
      <c r="Q2" s="2" t="n">
        <v>499</v>
      </c>
      <c r="R2" s="2" t="n">
        <v>0</v>
      </c>
      <c r="S2">
        <f>SUM(G2:R2)</f>
        <v/>
      </c>
      <c r="T2">
        <f>C2+D2-E2-F2-S2</f>
        <v/>
      </c>
    </row>
    <row r="3">
      <c r="A3" t="inlineStr">
        <is>
          <t>TD-2049</t>
        </is>
      </c>
      <c r="B3" t="inlineStr">
        <is>
          <t>Summit Wrecker &amp; Salvage</t>
        </is>
      </c>
      <c r="C3" s="2" t="n">
        <v>17988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1499</v>
      </c>
      <c r="R3" s="2" t="n">
        <v>1499</v>
      </c>
      <c r="S3">
        <f>SUM(G3:R3)</f>
        <v/>
      </c>
      <c r="T3">
        <f>C3+D3-E3-F3-S3</f>
        <v/>
      </c>
    </row>
    <row r="4">
      <c r="A4" t="inlineStr">
        <is>
          <t>TD-2067</t>
        </is>
      </c>
      <c r="B4" t="inlineStr">
        <is>
          <t>Redline Recovery</t>
        </is>
      </c>
      <c r="C4" s="2" t="n">
        <v>2988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>
        <f>SUM(G4:R4)</f>
        <v/>
      </c>
      <c r="T4">
        <f>C4+D4-E4-F4-S4</f>
        <v/>
      </c>
    </row>
    <row r="5">
      <c r="A5" t="inlineStr">
        <is>
          <t>TD-2072</t>
        </is>
      </c>
      <c r="B5" t="inlineStr">
        <is>
          <t>Hilltop Wrecker</t>
        </is>
      </c>
      <c r="C5" s="2" t="n">
        <v>10788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899</v>
      </c>
      <c r="J5" s="2" t="n">
        <v>899</v>
      </c>
      <c r="K5" s="2" t="n">
        <v>899</v>
      </c>
      <c r="L5" s="2" t="n">
        <v>899</v>
      </c>
      <c r="M5" s="2" t="n">
        <v>899</v>
      </c>
      <c r="N5" s="2" t="n">
        <v>899</v>
      </c>
      <c r="O5" s="2" t="n">
        <v>899</v>
      </c>
      <c r="P5" s="2" t="n">
        <v>899</v>
      </c>
      <c r="Q5" s="2" t="n">
        <v>899</v>
      </c>
      <c r="R5" s="2" t="n">
        <v>899</v>
      </c>
      <c r="S5">
        <f>SUM(G5:R5)</f>
        <v/>
      </c>
      <c r="T5">
        <f>C5+D5-E5-F5-S5</f>
        <v/>
      </c>
    </row>
    <row r="6">
      <c r="A6" t="inlineStr">
        <is>
          <t>TD-2076</t>
        </is>
      </c>
      <c r="B6" t="inlineStr">
        <is>
          <t>Interstate Recovery Group</t>
        </is>
      </c>
      <c r="C6" s="2" t="n">
        <v>2988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249</v>
      </c>
      <c r="N6" s="2" t="n">
        <v>249</v>
      </c>
      <c r="O6" s="2" t="n">
        <v>249</v>
      </c>
      <c r="P6" s="2" t="n">
        <v>249</v>
      </c>
      <c r="Q6" s="2" t="n">
        <v>249</v>
      </c>
      <c r="R6" s="2" t="n">
        <v>249</v>
      </c>
      <c r="S6">
        <f>SUM(G6:R6)</f>
        <v/>
      </c>
      <c r="T6">
        <f>C6+D6-E6-F6-S6</f>
        <v/>
      </c>
    </row>
    <row r="7">
      <c r="A7" t="inlineStr">
        <is>
          <t>TD-2086</t>
        </is>
      </c>
      <c r="B7" t="inlineStr">
        <is>
          <t>Yellow Jacket Towing</t>
        </is>
      </c>
      <c r="C7" s="2" t="n">
        <v>17988</v>
      </c>
      <c r="D7" s="2" t="n">
        <v>0</v>
      </c>
      <c r="E7" s="2" t="n">
        <v>7245</v>
      </c>
      <c r="F7" s="2" t="n">
        <v>0</v>
      </c>
      <c r="G7" s="2" t="n">
        <v>0</v>
      </c>
      <c r="H7" s="2" t="n">
        <v>1499</v>
      </c>
      <c r="I7" s="2" t="n">
        <v>1499</v>
      </c>
      <c r="J7" s="2" t="n">
        <v>1499</v>
      </c>
      <c r="K7" s="2" t="n">
        <v>1499</v>
      </c>
      <c r="L7" s="2" t="n">
        <v>1499</v>
      </c>
      <c r="M7" s="2" t="n">
        <v>1499</v>
      </c>
      <c r="N7" s="2" t="n">
        <v>1499</v>
      </c>
      <c r="O7" s="2" t="n">
        <v>250</v>
      </c>
      <c r="P7" s="2" t="n">
        <v>0</v>
      </c>
      <c r="Q7" s="2" t="n">
        <v>0</v>
      </c>
      <c r="R7" s="2" t="n">
        <v>0</v>
      </c>
      <c r="S7">
        <f>SUM(G7:R7)</f>
        <v/>
      </c>
      <c r="T7">
        <f>C7+D7-E7-F7-S7</f>
        <v/>
      </c>
    </row>
    <row r="8">
      <c r="A8" t="inlineStr">
        <is>
          <t>TD-2095</t>
        </is>
      </c>
      <c r="B8" t="inlineStr">
        <is>
          <t>Old Mill Auto Tow</t>
        </is>
      </c>
      <c r="C8" s="2" t="n">
        <v>5988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499</v>
      </c>
      <c r="J8" s="2" t="n">
        <v>499</v>
      </c>
      <c r="K8" s="2" t="n">
        <v>499</v>
      </c>
      <c r="L8" s="2" t="n">
        <v>499</v>
      </c>
      <c r="M8" s="2" t="n">
        <v>499</v>
      </c>
      <c r="N8" s="2" t="n">
        <v>499</v>
      </c>
      <c r="O8" s="2" t="n">
        <v>499</v>
      </c>
      <c r="P8" s="2" t="n">
        <v>499</v>
      </c>
      <c r="Q8" s="2" t="n">
        <v>499</v>
      </c>
      <c r="R8" s="2" t="n">
        <v>499</v>
      </c>
      <c r="S8">
        <f>SUM(G8:R8)</f>
        <v/>
      </c>
      <c r="T8">
        <f>C8+D8-E8-F8-S8</f>
        <v/>
      </c>
    </row>
    <row r="9">
      <c r="A9" t="inlineStr">
        <is>
          <t>TD-2100</t>
        </is>
      </c>
      <c r="B9" t="inlineStr">
        <is>
          <t>Redline Recovery</t>
        </is>
      </c>
      <c r="C9" s="2" t="n">
        <v>2988</v>
      </c>
      <c r="D9" s="2" t="n">
        <v>0</v>
      </c>
      <c r="E9" s="2" t="n">
        <v>0</v>
      </c>
      <c r="F9" s="2" t="n">
        <v>0</v>
      </c>
      <c r="G9" s="2" t="n">
        <v>249</v>
      </c>
      <c r="H9" s="2" t="n">
        <v>249</v>
      </c>
      <c r="I9" s="2" t="n">
        <v>249</v>
      </c>
      <c r="J9" s="2" t="n">
        <v>249</v>
      </c>
      <c r="K9" s="2" t="n">
        <v>249</v>
      </c>
      <c r="L9" s="2" t="n">
        <v>249</v>
      </c>
      <c r="M9" s="2" t="n">
        <v>249</v>
      </c>
      <c r="N9" s="2" t="n">
        <v>249</v>
      </c>
      <c r="O9" s="2" t="n">
        <v>249</v>
      </c>
      <c r="P9" s="2" t="n">
        <v>249</v>
      </c>
      <c r="Q9" s="2" t="n">
        <v>249</v>
      </c>
      <c r="R9" s="2" t="n">
        <v>249</v>
      </c>
      <c r="S9">
        <f>SUM(G9:R9)</f>
        <v/>
      </c>
      <c r="T9">
        <f>C9+D9-E9-F9-S9</f>
        <v/>
      </c>
    </row>
    <row r="10">
      <c r="A10" t="inlineStr">
        <is>
          <t>TD-2111</t>
        </is>
      </c>
      <c r="B10" t="inlineStr">
        <is>
          <t>Metro Impound Services</t>
        </is>
      </c>
      <c r="C10" s="2" t="n">
        <v>2988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249</v>
      </c>
      <c r="J10" s="2" t="n">
        <v>249</v>
      </c>
      <c r="K10" s="2" t="n">
        <v>249</v>
      </c>
      <c r="L10" s="2" t="n">
        <v>249</v>
      </c>
      <c r="M10" s="2" t="n">
        <v>249</v>
      </c>
      <c r="N10" s="2" t="n">
        <v>249</v>
      </c>
      <c r="O10" s="2" t="n">
        <v>249</v>
      </c>
      <c r="P10" s="2" t="n">
        <v>249</v>
      </c>
      <c r="Q10" s="2" t="n">
        <v>249</v>
      </c>
      <c r="R10" s="2" t="n">
        <v>249</v>
      </c>
      <c r="S10">
        <f>SUM(G10:R10)</f>
        <v/>
      </c>
      <c r="T10">
        <f>C10+D10-E10-F10-S10</f>
        <v/>
      </c>
    </row>
    <row r="11">
      <c r="A11" t="inlineStr">
        <is>
          <t>TD-2114</t>
        </is>
      </c>
      <c r="B11" t="inlineStr">
        <is>
          <t>Eastgate Auto Recovery</t>
        </is>
      </c>
      <c r="C11" s="2" t="n">
        <v>5988</v>
      </c>
      <c r="D11" s="2" t="n">
        <v>2800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499</v>
      </c>
      <c r="K11" s="2" t="n">
        <v>499</v>
      </c>
      <c r="L11" s="2" t="n">
        <v>499</v>
      </c>
      <c r="M11" s="2" t="n">
        <v>499</v>
      </c>
      <c r="N11" s="2" t="n">
        <v>499</v>
      </c>
      <c r="O11" s="2" t="n">
        <v>899</v>
      </c>
      <c r="P11" s="2" t="n">
        <v>899</v>
      </c>
      <c r="Q11" s="2" t="n">
        <v>899</v>
      </c>
      <c r="R11" s="2" t="n">
        <v>899</v>
      </c>
      <c r="S11">
        <f>SUM(G11:R11)</f>
        <v/>
      </c>
      <c r="T11">
        <f>C11+D11-E11-F11-S11</f>
        <v/>
      </c>
    </row>
    <row r="12">
      <c r="A12" t="inlineStr">
        <is>
          <t>TD-2115</t>
        </is>
      </c>
      <c r="B12" t="inlineStr">
        <is>
          <t>Gateway Tow &amp; Transport</t>
        </is>
      </c>
      <c r="C12" s="2" t="n">
        <v>2988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249</v>
      </c>
      <c r="L12" s="2" t="n">
        <v>249</v>
      </c>
      <c r="M12" s="2" t="n">
        <v>249</v>
      </c>
      <c r="N12" s="2" t="n">
        <v>249</v>
      </c>
      <c r="O12" s="2" t="n">
        <v>249</v>
      </c>
      <c r="P12" s="2" t="n">
        <v>249</v>
      </c>
      <c r="Q12" s="2" t="n">
        <v>249</v>
      </c>
      <c r="R12" s="2" t="n">
        <v>249</v>
      </c>
      <c r="S12">
        <f>SUM(G12:R12)</f>
        <v/>
      </c>
      <c r="T12">
        <f>C12+D12-E12-F12-S12</f>
        <v/>
      </c>
    </row>
    <row r="13">
      <c r="A13" t="inlineStr">
        <is>
          <t>TD-2119</t>
        </is>
      </c>
      <c r="B13" t="inlineStr">
        <is>
          <t>Jensen Towing</t>
        </is>
      </c>
      <c r="C13" s="2" t="n">
        <v>10788</v>
      </c>
      <c r="D13" s="2" t="n">
        <v>0</v>
      </c>
      <c r="E13" s="2" t="n">
        <v>0</v>
      </c>
      <c r="F13" s="2" t="n">
        <v>899</v>
      </c>
      <c r="G13" s="2" t="n">
        <v>899</v>
      </c>
      <c r="H13" s="2" t="n">
        <v>899</v>
      </c>
      <c r="I13" s="2" t="n">
        <v>899</v>
      </c>
      <c r="J13" s="2" t="n">
        <v>899</v>
      </c>
      <c r="K13" s="2" t="n">
        <v>899</v>
      </c>
      <c r="L13" s="2" t="n">
        <v>899</v>
      </c>
      <c r="M13" s="2" t="n">
        <v>899</v>
      </c>
      <c r="N13" s="2" t="n">
        <v>899</v>
      </c>
      <c r="O13" s="2" t="n">
        <v>899</v>
      </c>
      <c r="P13" s="2" t="n">
        <v>899</v>
      </c>
      <c r="Q13" s="2" t="n">
        <v>899</v>
      </c>
      <c r="R13" s="2" t="n">
        <v>0</v>
      </c>
      <c r="S13">
        <f>SUM(G13:R13)</f>
        <v/>
      </c>
      <c r="T13">
        <f>C13+D13-E13-F13-S13</f>
        <v/>
      </c>
    </row>
    <row r="14">
      <c r="A14" t="inlineStr">
        <is>
          <t>TD-2123</t>
        </is>
      </c>
      <c r="B14" t="inlineStr">
        <is>
          <t>Lone Pine Towing</t>
        </is>
      </c>
      <c r="C14" s="2" t="n">
        <v>2988</v>
      </c>
      <c r="D14" s="2" t="n">
        <v>0</v>
      </c>
      <c r="E14" s="2" t="n">
        <v>0</v>
      </c>
      <c r="F14" s="2" t="n">
        <v>996</v>
      </c>
      <c r="G14" s="2" t="n">
        <v>249</v>
      </c>
      <c r="H14" s="2" t="n">
        <v>249</v>
      </c>
      <c r="I14" s="2" t="n">
        <v>249</v>
      </c>
      <c r="J14" s="2" t="n">
        <v>249</v>
      </c>
      <c r="K14" s="2" t="n">
        <v>249</v>
      </c>
      <c r="L14" s="2" t="n">
        <v>249</v>
      </c>
      <c r="M14" s="2" t="n">
        <v>249</v>
      </c>
      <c r="N14" s="2" t="n">
        <v>249</v>
      </c>
      <c r="O14" s="2" t="n">
        <v>0</v>
      </c>
      <c r="P14" s="2" t="n">
        <v>0</v>
      </c>
      <c r="Q14" s="2" t="n">
        <v>0</v>
      </c>
      <c r="R14" s="2" t="n">
        <v>0</v>
      </c>
      <c r="S14">
        <f>SUM(G14:R14)</f>
        <v/>
      </c>
      <c r="T14">
        <f>C14+D14-E14-F14-S14</f>
        <v/>
      </c>
    </row>
    <row r="15">
      <c r="A15" t="inlineStr">
        <is>
          <t>TD-2125</t>
        </is>
      </c>
      <c r="B15" t="inlineStr">
        <is>
          <t>Ace Towing &amp; Recovery</t>
        </is>
      </c>
      <c r="C15" s="2" t="n">
        <v>5988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499</v>
      </c>
      <c r="O15" s="2" t="n">
        <v>499</v>
      </c>
      <c r="P15" s="2" t="n">
        <v>499</v>
      </c>
      <c r="Q15" s="2" t="n">
        <v>499</v>
      </c>
      <c r="R15" s="2" t="n">
        <v>499</v>
      </c>
      <c r="S15">
        <f>SUM(G15:R15)</f>
        <v/>
      </c>
      <c r="T15">
        <f>C15+D15-E15-F15-S15</f>
        <v/>
      </c>
    </row>
    <row r="16">
      <c r="A16" t="inlineStr">
        <is>
          <t>TD-2128</t>
        </is>
      </c>
      <c r="B16" t="inlineStr">
        <is>
          <t>Crossroads Roadside</t>
        </is>
      </c>
      <c r="C16" s="2" t="n">
        <v>10788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899</v>
      </c>
      <c r="M16" s="2" t="n">
        <v>899</v>
      </c>
      <c r="N16" s="2" t="n">
        <v>899</v>
      </c>
      <c r="O16" s="2" t="n">
        <v>899</v>
      </c>
      <c r="P16" s="2" t="n">
        <v>899</v>
      </c>
      <c r="Q16" s="2" t="n">
        <v>899</v>
      </c>
      <c r="R16" s="2" t="n">
        <v>899</v>
      </c>
      <c r="S16">
        <f>SUM(G16:R16)</f>
        <v/>
      </c>
      <c r="T16">
        <f>C16+D16-E16-F16-S16</f>
        <v/>
      </c>
    </row>
    <row r="17">
      <c r="A17" t="inlineStr">
        <is>
          <t>TD-2132</t>
        </is>
      </c>
      <c r="B17" t="inlineStr">
        <is>
          <t>Quick Hook Towing</t>
        </is>
      </c>
      <c r="C17" s="2" t="n">
        <v>2988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249</v>
      </c>
      <c r="L17" s="2" t="n">
        <v>249</v>
      </c>
      <c r="M17" s="2" t="n">
        <v>249</v>
      </c>
      <c r="N17" s="2" t="n">
        <v>249</v>
      </c>
      <c r="O17" s="2" t="n">
        <v>249</v>
      </c>
      <c r="P17" s="2" t="n">
        <v>249</v>
      </c>
      <c r="Q17" s="2" t="n">
        <v>249</v>
      </c>
      <c r="R17" s="2" t="n">
        <v>249</v>
      </c>
      <c r="S17">
        <f>SUM(G17:R17)</f>
        <v/>
      </c>
      <c r="T17">
        <f>C17+D17-E17-F17-S17</f>
        <v/>
      </c>
    </row>
    <row r="18">
      <c r="A18" t="inlineStr">
        <is>
          <t>TD-2134</t>
        </is>
      </c>
      <c r="B18" t="inlineStr">
        <is>
          <t>Keystone Roadside Assist</t>
        </is>
      </c>
      <c r="C18" s="2" t="n">
        <v>10788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899</v>
      </c>
      <c r="N18" s="2" t="n">
        <v>899</v>
      </c>
      <c r="O18" s="2" t="n">
        <v>899</v>
      </c>
      <c r="P18" s="2" t="n">
        <v>899</v>
      </c>
      <c r="Q18" s="2" t="n">
        <v>899</v>
      </c>
      <c r="R18" s="2" t="n">
        <v>899</v>
      </c>
      <c r="S18">
        <f>SUM(G18:R18)</f>
        <v/>
      </c>
      <c r="T18">
        <f>C18+D18-E18-F18-S18</f>
        <v/>
      </c>
    </row>
    <row r="19">
      <c r="A19" t="inlineStr">
        <is>
          <t>Total</t>
        </is>
      </c>
      <c r="C19">
        <f>SUM(C2:C18)</f>
        <v/>
      </c>
      <c r="D19">
        <f>SUM(D2:D18)</f>
        <v/>
      </c>
      <c r="E19">
        <f>SUM(E2:E18)</f>
        <v/>
      </c>
      <c r="F19">
        <f>SUM(F2:F18)</f>
        <v/>
      </c>
      <c r="G19">
        <f>SUM(G2:G18)</f>
        <v/>
      </c>
      <c r="H19">
        <f>SUM(H2:H18)</f>
        <v/>
      </c>
      <c r="I19">
        <f>SUM(I2:I18)</f>
        <v/>
      </c>
      <c r="J19">
        <f>SUM(J2:J18)</f>
        <v/>
      </c>
      <c r="K19">
        <f>SUM(K2:K18)</f>
        <v/>
      </c>
      <c r="L19">
        <f>SUM(L2:L18)</f>
        <v/>
      </c>
      <c r="M19">
        <f>SUM(M2:M18)</f>
        <v/>
      </c>
      <c r="N19">
        <f>SUM(N2:N18)</f>
        <v/>
      </c>
      <c r="O19">
        <f>SUM(O2:O18)</f>
        <v/>
      </c>
      <c r="P19">
        <f>SUM(P2:P18)</f>
        <v/>
      </c>
      <c r="Q19">
        <f>SUM(Q2:Q18)</f>
        <v/>
      </c>
      <c r="R19">
        <f>SUM(R2:R18)</f>
        <v/>
      </c>
      <c r="S19">
        <f>SUM(S2:S18)</f>
        <v/>
      </c>
      <c r="T19">
        <f>SUM(T2:T18)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Tallgrass Dispatch</dc:creator>
  <dcterms:created xsi:type="dcterms:W3CDTF">2026-01-15T09:00:00Z</dcterms:created>
  <dcterms:modified xsi:type="dcterms:W3CDTF">2026-01-15T09:00:00Z</dcterms:modified>
  <cp:lastModifiedBy>Tallgrass Dispatch</cp:lastModifiedBy>
</cp:coreProperties>
</file>