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Depreciation expense</t>
        </is>
      </c>
    </row>
    <row r="2">
      <c r="A2" t="inlineStr">
        <is>
          <t>2026-01</t>
        </is>
      </c>
      <c r="B2">
        <f>Assets!I14</f>
        <v/>
      </c>
    </row>
    <row r="3">
      <c r="A3" t="inlineStr">
        <is>
          <t>2026-02</t>
        </is>
      </c>
      <c r="B3">
        <f>Assets!J14</f>
        <v/>
      </c>
    </row>
    <row r="4">
      <c r="A4" t="inlineStr">
        <is>
          <t>2026-03</t>
        </is>
      </c>
      <c r="B4">
        <f>Assets!K14</f>
        <v/>
      </c>
    </row>
    <row r="5">
      <c r="A5" t="inlineStr">
        <is>
          <t>2026-04</t>
        </is>
      </c>
      <c r="B5">
        <f>Assets!L14</f>
        <v/>
      </c>
    </row>
    <row r="6">
      <c r="A6" t="inlineStr">
        <is>
          <t>2026-05</t>
        </is>
      </c>
      <c r="B6">
        <f>Assets!M14</f>
        <v/>
      </c>
    </row>
    <row r="7">
      <c r="A7" t="inlineStr">
        <is>
          <t>2026-06</t>
        </is>
      </c>
      <c r="B7">
        <f>Assets!N14</f>
        <v/>
      </c>
    </row>
    <row r="8">
      <c r="A8" t="inlineStr">
        <is>
          <t>2026-07</t>
        </is>
      </c>
      <c r="B8">
        <f>Assets!O14</f>
        <v/>
      </c>
    </row>
    <row r="9">
      <c r="A9" t="inlineStr">
        <is>
          <t>2026-08</t>
        </is>
      </c>
      <c r="B9">
        <f>Assets!P14</f>
        <v/>
      </c>
    </row>
    <row r="10">
      <c r="A10" t="inlineStr">
        <is>
          <t>2026-09</t>
        </is>
      </c>
      <c r="B10">
        <f>Assets!Q14</f>
        <v/>
      </c>
    </row>
    <row r="11">
      <c r="A11" t="inlineStr">
        <is>
          <t>2026-10</t>
        </is>
      </c>
      <c r="B11">
        <f>Assets!R14</f>
        <v/>
      </c>
    </row>
    <row r="12">
      <c r="A12" t="inlineStr">
        <is>
          <t>2026-11</t>
        </is>
      </c>
      <c r="B12">
        <f>Assets!S14</f>
        <v/>
      </c>
    </row>
    <row r="13">
      <c r="A13" t="inlineStr">
        <is>
          <t>2026-12</t>
        </is>
      </c>
      <c r="B13">
        <f>Assets!T14</f>
        <v/>
      </c>
    </row>
    <row r="14">
      <c r="A14" t="inlineStr">
        <is>
          <t>Total 2026</t>
        </is>
      </c>
      <c r="B14">
        <f>SUM(B2:B13)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2" customWidth="1" min="3" max="3"/>
  </cols>
  <sheetData>
    <row r="1">
      <c r="A1" s="1" t="inlineStr">
        <is>
          <t>Asset tag</t>
        </is>
      </c>
      <c r="B1" s="1" t="inlineStr">
        <is>
          <t>Description</t>
        </is>
      </c>
      <c r="C1" s="1" t="inlineStr">
        <is>
          <t>In service</t>
        </is>
      </c>
      <c r="D1" s="1" t="inlineStr">
        <is>
          <t>Cost</t>
        </is>
      </c>
      <c r="E1" s="1" t="inlineStr">
        <is>
          <t>Salvage</t>
        </is>
      </c>
      <c r="F1" s="1" t="inlineStr">
        <is>
          <t>Life (months)</t>
        </is>
      </c>
      <c r="G1" s="1" t="inlineStr">
        <is>
          <t>Monthly depreciation</t>
        </is>
      </c>
      <c r="H1" s="1" t="inlineStr">
        <is>
          <t>Accumulated at 2025-12-31</t>
        </is>
      </c>
      <c r="I1" s="1" t="inlineStr">
        <is>
          <t>2026-01</t>
        </is>
      </c>
      <c r="J1" s="1" t="inlineStr">
        <is>
          <t>2026-02</t>
        </is>
      </c>
      <c r="K1" s="1" t="inlineStr">
        <is>
          <t>2026-03</t>
        </is>
      </c>
      <c r="L1" s="1" t="inlineStr">
        <is>
          <t>2026-04</t>
        </is>
      </c>
      <c r="M1" s="1" t="inlineStr">
        <is>
          <t>2026-05</t>
        </is>
      </c>
      <c r="N1" s="1" t="inlineStr">
        <is>
          <t>2026-06</t>
        </is>
      </c>
      <c r="O1" s="1" t="inlineStr">
        <is>
          <t>2026-07</t>
        </is>
      </c>
      <c r="P1" s="1" t="inlineStr">
        <is>
          <t>2026-08</t>
        </is>
      </c>
      <c r="Q1" s="1" t="inlineStr">
        <is>
          <t>2026-09</t>
        </is>
      </c>
      <c r="R1" s="1" t="inlineStr">
        <is>
          <t>2026-10</t>
        </is>
      </c>
      <c r="S1" s="1" t="inlineStr">
        <is>
          <t>2026-11</t>
        </is>
      </c>
      <c r="T1" s="1" t="inlineStr">
        <is>
          <t>2026-12</t>
        </is>
      </c>
      <c r="U1" s="1" t="inlineStr">
        <is>
          <t>2026 depreciation</t>
        </is>
      </c>
      <c r="V1" s="1" t="inlineStr">
        <is>
          <t>Accumulated at 2026-12-31 or sale</t>
        </is>
      </c>
      <c r="W1" s="1" t="inlineStr">
        <is>
          <t>Book value (at sale if sold)</t>
        </is>
      </c>
      <c r="X1" s="1" t="inlineStr">
        <is>
          <t>Sale proceeds</t>
        </is>
      </c>
      <c r="Y1" s="1" t="inlineStr">
        <is>
          <t>Gain (loss) on sale</t>
        </is>
      </c>
    </row>
    <row r="2">
      <c r="A2" t="inlineStr">
        <is>
          <t>FA-106</t>
        </is>
      </c>
      <c r="B2" t="inlineStr">
        <is>
          <t>Rooftop HVAC unit (leasehold improvement)</t>
        </is>
      </c>
      <c r="C2" s="2" t="n">
        <v>44792</v>
      </c>
      <c r="D2" s="3" t="n">
        <v>22824</v>
      </c>
      <c r="E2" s="3" t="n">
        <v>0</v>
      </c>
      <c r="F2" t="n">
        <v>180</v>
      </c>
      <c r="G2">
        <f>ROUND((D2-E2)/F2,2)</f>
        <v/>
      </c>
      <c r="H2" s="3" t="n">
        <v>5072</v>
      </c>
      <c r="I2" s="3" t="n">
        <v>126.8</v>
      </c>
      <c r="J2" s="3" t="n">
        <v>126.8</v>
      </c>
      <c r="K2" s="3" t="n">
        <v>126.8</v>
      </c>
      <c r="L2" s="3" t="n">
        <v>126.8</v>
      </c>
      <c r="M2" s="3" t="n">
        <v>126.8</v>
      </c>
      <c r="N2" s="3" t="n">
        <v>126.8</v>
      </c>
      <c r="O2" s="3" t="n">
        <v>126.8</v>
      </c>
      <c r="P2" s="3" t="n">
        <v>126.8</v>
      </c>
      <c r="Q2" s="3" t="n">
        <v>126.8</v>
      </c>
      <c r="R2" s="3" t="n">
        <v>126.8</v>
      </c>
      <c r="S2" s="3" t="n">
        <v>126.8</v>
      </c>
      <c r="T2" s="3" t="n">
        <v>126.8</v>
      </c>
      <c r="U2">
        <f>SUM(I2:T2)</f>
        <v/>
      </c>
      <c r="V2">
        <f>H2+U2</f>
        <v/>
      </c>
      <c r="W2">
        <f>D2-V2</f>
        <v/>
      </c>
    </row>
    <row r="3">
      <c r="A3" t="inlineStr">
        <is>
          <t>FA-128</t>
        </is>
      </c>
      <c r="B3" t="inlineStr">
        <is>
          <t>Heidelberg Speedmaster SM 52 two-color offset press</t>
        </is>
      </c>
      <c r="C3" s="2" t="n">
        <v>44158</v>
      </c>
      <c r="D3" s="3" t="n">
        <v>59327.2</v>
      </c>
      <c r="E3" s="3" t="n">
        <v>5650</v>
      </c>
      <c r="F3" t="n">
        <v>120</v>
      </c>
      <c r="G3">
        <f>ROUND((D3-E3)/F3,2)</f>
        <v/>
      </c>
      <c r="H3" s="3" t="n">
        <v>27285.91</v>
      </c>
      <c r="I3" s="3" t="n">
        <v>447.31</v>
      </c>
      <c r="J3" s="3" t="n">
        <v>447.31</v>
      </c>
      <c r="K3" s="3" t="n">
        <v>447.31</v>
      </c>
      <c r="L3" s="3" t="n">
        <v>447.31</v>
      </c>
      <c r="M3" s="3" t="n">
        <v>447.31</v>
      </c>
      <c r="N3" s="3" t="n">
        <v>447.31</v>
      </c>
      <c r="O3" s="3" t="n">
        <v>447.31</v>
      </c>
      <c r="P3" s="3" t="n">
        <v>447.31</v>
      </c>
      <c r="Q3" s="3" t="n">
        <v>447.31</v>
      </c>
      <c r="R3" s="3" t="n">
        <v>447.31</v>
      </c>
      <c r="S3" s="3" t="n">
        <v>447.31</v>
      </c>
      <c r="T3" s="3" t="n">
        <v>447.31</v>
      </c>
      <c r="U3">
        <f>SUM(I3:T3)</f>
        <v/>
      </c>
      <c r="V3">
        <f>H3+U3</f>
        <v/>
      </c>
      <c r="W3">
        <f>D3-V3</f>
        <v/>
      </c>
    </row>
    <row r="4">
      <c r="A4" t="inlineStr">
        <is>
          <t>FA-134</t>
        </is>
      </c>
      <c r="B4" t="inlineStr">
        <is>
          <t>Mailing inserter and folder-sealer</t>
        </is>
      </c>
      <c r="C4" s="2" t="n">
        <v>46366</v>
      </c>
      <c r="D4" s="3" t="n">
        <v>17059.56</v>
      </c>
      <c r="E4" s="3" t="n">
        <v>0</v>
      </c>
      <c r="F4" t="n">
        <v>84</v>
      </c>
      <c r="G4">
        <f>ROUND((D4-E4)/F4,2)</f>
        <v/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>
        <f>SUM(I4:T4)</f>
        <v/>
      </c>
      <c r="V4">
        <f>H4+U4</f>
        <v/>
      </c>
      <c r="W4">
        <f>D4-V4</f>
        <v/>
      </c>
    </row>
    <row r="5">
      <c r="A5" t="inlineStr">
        <is>
          <t>FA-146</t>
        </is>
      </c>
      <c r="B5" t="inlineStr">
        <is>
          <t>2021 Ford Transit Connect delivery van</t>
        </is>
      </c>
      <c r="C5" s="2" t="n">
        <v>44798</v>
      </c>
      <c r="D5" s="3" t="n">
        <v>26955.2</v>
      </c>
      <c r="E5" s="3" t="n">
        <v>5750</v>
      </c>
      <c r="F5" t="n">
        <v>60</v>
      </c>
      <c r="G5">
        <f>ROUND((D5-E5)/F5,2)</f>
        <v/>
      </c>
      <c r="H5" s="3" t="n">
        <v>14136.8</v>
      </c>
      <c r="I5" s="3" t="n">
        <v>353.42</v>
      </c>
      <c r="J5" s="3" t="n">
        <v>353.42</v>
      </c>
      <c r="K5" s="3" t="n">
        <v>353.42</v>
      </c>
      <c r="L5" s="3" t="n">
        <v>353.42</v>
      </c>
      <c r="M5" s="3" t="n">
        <v>353.42</v>
      </c>
      <c r="N5" s="3" t="n">
        <v>353.42</v>
      </c>
      <c r="O5" s="3" t="n">
        <v>353.42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>
        <f>SUM(I5:T5)</f>
        <v/>
      </c>
      <c r="V5">
        <f>H5+U5</f>
        <v/>
      </c>
      <c r="W5">
        <f>D5-V5</f>
        <v/>
      </c>
      <c r="X5" s="3" t="n">
        <v>12850</v>
      </c>
      <c r="Y5">
        <f>X5-W5</f>
        <v/>
      </c>
    </row>
    <row r="6">
      <c r="A6" t="inlineStr">
        <is>
          <t>FA-150</t>
        </is>
      </c>
      <c r="B6" t="inlineStr">
        <is>
          <t>Polar 66 guillotine paper cutter</t>
        </is>
      </c>
      <c r="C6" s="2" t="n">
        <v>44159</v>
      </c>
      <c r="D6" s="3" t="n">
        <v>22478.84</v>
      </c>
      <c r="E6" s="3" t="n">
        <v>1100</v>
      </c>
      <c r="F6" t="n">
        <v>84</v>
      </c>
      <c r="G6">
        <f>ROUND((D6-E6)/F6,2)</f>
        <v/>
      </c>
      <c r="H6" s="3" t="n">
        <v>15525.11</v>
      </c>
      <c r="I6" s="3" t="n">
        <v>254.51</v>
      </c>
      <c r="J6" s="3" t="n">
        <v>254.51</v>
      </c>
      <c r="K6" s="3" t="n">
        <v>254.51</v>
      </c>
      <c r="L6" s="3" t="n">
        <v>254.51</v>
      </c>
      <c r="M6" s="3" t="n">
        <v>254.51</v>
      </c>
      <c r="N6" s="3" t="n">
        <v>254.51</v>
      </c>
      <c r="O6" s="3" t="n">
        <v>254.51</v>
      </c>
      <c r="P6" s="3" t="n">
        <v>254.51</v>
      </c>
      <c r="Q6" s="3" t="n">
        <v>254.51</v>
      </c>
      <c r="R6" s="3" t="n">
        <v>254.51</v>
      </c>
      <c r="S6" s="3" t="n">
        <v>254.51</v>
      </c>
      <c r="T6" s="3" t="n">
        <v>254.51</v>
      </c>
      <c r="U6">
        <f>SUM(I6:T6)</f>
        <v/>
      </c>
      <c r="V6">
        <f>H6+U6</f>
        <v/>
      </c>
      <c r="W6">
        <f>D6-V6</f>
        <v/>
      </c>
    </row>
    <row r="7">
      <c r="A7" t="inlineStr">
        <is>
          <t>FA-152</t>
        </is>
      </c>
      <c r="B7" t="inlineStr">
        <is>
          <t>MBO K70 buckle folder</t>
        </is>
      </c>
      <c r="C7" s="2" t="n">
        <v>44761</v>
      </c>
      <c r="D7" s="3" t="n">
        <v>15054.48</v>
      </c>
      <c r="E7" s="3" t="n">
        <v>0</v>
      </c>
      <c r="F7" t="n">
        <v>84</v>
      </c>
      <c r="G7">
        <f>ROUND((D7-E7)/F7,2)</f>
        <v/>
      </c>
      <c r="H7" s="3" t="n">
        <v>7348.02</v>
      </c>
      <c r="I7" s="3" t="n">
        <v>179.22</v>
      </c>
      <c r="J7" s="3" t="n">
        <v>179.22</v>
      </c>
      <c r="K7" s="3" t="n">
        <v>179.22</v>
      </c>
      <c r="L7" s="3" t="n">
        <v>179.22</v>
      </c>
      <c r="M7" s="3" t="n">
        <v>179.22</v>
      </c>
      <c r="N7" s="3" t="n">
        <v>179.22</v>
      </c>
      <c r="O7" s="3" t="n">
        <v>179.22</v>
      </c>
      <c r="P7" s="3" t="n">
        <v>179.22</v>
      </c>
      <c r="Q7" s="3" t="n">
        <v>179.22</v>
      </c>
      <c r="R7" s="3" t="n">
        <v>179.22</v>
      </c>
      <c r="S7" s="3" t="n">
        <v>179.22</v>
      </c>
      <c r="T7" s="3" t="n">
        <v>179.22</v>
      </c>
      <c r="U7">
        <f>SUM(I7:T7)</f>
        <v/>
      </c>
      <c r="V7">
        <f>H7+U7</f>
        <v/>
      </c>
      <c r="W7">
        <f>D7-V7</f>
        <v/>
      </c>
    </row>
    <row r="8">
      <c r="A8" t="inlineStr">
        <is>
          <t>FA-154</t>
        </is>
      </c>
      <c r="B8" t="inlineStr">
        <is>
          <t>Prepress workstation and RIP server</t>
        </is>
      </c>
      <c r="C8" s="2" t="n">
        <v>45077</v>
      </c>
      <c r="D8" s="3" t="n">
        <v>9386.280000000001</v>
      </c>
      <c r="E8" s="3" t="n">
        <v>0</v>
      </c>
      <c r="F8" t="n">
        <v>36</v>
      </c>
      <c r="G8">
        <f>ROUND((D8-E8)/F8,2)</f>
        <v/>
      </c>
      <c r="H8" s="3" t="n">
        <v>8082.63</v>
      </c>
      <c r="I8" s="3" t="n">
        <v>260.73</v>
      </c>
      <c r="J8" s="3" t="n">
        <v>260.73</v>
      </c>
      <c r="K8" s="3" t="n">
        <v>260.73</v>
      </c>
      <c r="L8" s="3" t="n">
        <v>260.73</v>
      </c>
      <c r="M8" s="3" t="n">
        <v>260.73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>
        <f>SUM(I8:T8)</f>
        <v/>
      </c>
      <c r="V8">
        <f>H8+U8</f>
        <v/>
      </c>
      <c r="W8">
        <f>D8-V8</f>
        <v/>
      </c>
    </row>
    <row r="9">
      <c r="A9" t="inlineStr">
        <is>
          <t>FA-162</t>
        </is>
      </c>
      <c r="B9" t="inlineStr">
        <is>
          <t>Front counter POS terminals and office PCs</t>
        </is>
      </c>
      <c r="C9" s="2" t="n">
        <v>45765</v>
      </c>
      <c r="D9" s="3" t="n">
        <v>4682.52</v>
      </c>
      <c r="E9" s="3" t="n">
        <v>0</v>
      </c>
      <c r="F9" t="n">
        <v>36</v>
      </c>
      <c r="G9">
        <f>ROUND((D9-E9)/F9,2)</f>
        <v/>
      </c>
      <c r="H9" s="3" t="n">
        <v>1040.56</v>
      </c>
      <c r="I9" s="3" t="n">
        <v>130.07</v>
      </c>
      <c r="J9" s="3" t="n">
        <v>130.07</v>
      </c>
      <c r="K9" s="3" t="n">
        <v>130.07</v>
      </c>
      <c r="L9" s="3" t="n">
        <v>130.07</v>
      </c>
      <c r="M9" s="3" t="n">
        <v>130.07</v>
      </c>
      <c r="N9" s="3" t="n">
        <v>130.07</v>
      </c>
      <c r="O9" s="3" t="n">
        <v>130.07</v>
      </c>
      <c r="P9" s="3" t="n">
        <v>130.07</v>
      </c>
      <c r="Q9" s="3" t="n">
        <v>130.07</v>
      </c>
      <c r="R9" s="3" t="n">
        <v>130.07</v>
      </c>
      <c r="S9" s="3" t="n">
        <v>130.07</v>
      </c>
      <c r="T9" s="3" t="n">
        <v>130.07</v>
      </c>
      <c r="U9">
        <f>SUM(I9:T9)</f>
        <v/>
      </c>
      <c r="V9">
        <f>H9+U9</f>
        <v/>
      </c>
      <c r="W9">
        <f>D9-V9</f>
        <v/>
      </c>
    </row>
    <row r="10">
      <c r="A10" t="inlineStr">
        <is>
          <t>FA-163</t>
        </is>
      </c>
      <c r="B10" t="inlineStr">
        <is>
          <t>Konica Minolta AccurioPress C4080 digital press</t>
        </is>
      </c>
      <c r="C10" s="2" t="n">
        <v>45006</v>
      </c>
      <c r="D10" s="3" t="n">
        <v>44395</v>
      </c>
      <c r="E10" s="3" t="n">
        <v>2650</v>
      </c>
      <c r="F10" t="n">
        <v>60</v>
      </c>
      <c r="G10">
        <f>ROUND((D10-E10)/F10,2)</f>
        <v/>
      </c>
      <c r="H10" s="3" t="n">
        <v>22959.75</v>
      </c>
      <c r="I10" s="3" t="n">
        <v>695.75</v>
      </c>
      <c r="J10" s="3" t="n">
        <v>695.75</v>
      </c>
      <c r="K10" s="3" t="n">
        <v>695.75</v>
      </c>
      <c r="L10" s="3" t="n">
        <v>695.75</v>
      </c>
      <c r="M10" s="3" t="n">
        <v>695.75</v>
      </c>
      <c r="N10" s="3" t="n">
        <v>695.75</v>
      </c>
      <c r="O10" s="3" t="n">
        <v>695.75</v>
      </c>
      <c r="P10" s="3" t="n">
        <v>695.75</v>
      </c>
      <c r="Q10" s="3" t="n">
        <v>695.75</v>
      </c>
      <c r="R10" s="3" t="n">
        <v>695.75</v>
      </c>
      <c r="S10" s="3" t="n">
        <v>695.75</v>
      </c>
      <c r="T10" s="3" t="n">
        <v>695.75</v>
      </c>
      <c r="U10">
        <f>SUM(I10:T10)</f>
        <v/>
      </c>
      <c r="V10">
        <f>H10+U10</f>
        <v/>
      </c>
      <c r="W10">
        <f>D10-V10</f>
        <v/>
      </c>
    </row>
    <row r="11">
      <c r="A11" t="inlineStr">
        <is>
          <t>FA-166</t>
        </is>
      </c>
      <c r="B11" t="inlineStr">
        <is>
          <t>Epson SureColor wide-format printer</t>
        </is>
      </c>
      <c r="C11" s="2" t="n">
        <v>45806</v>
      </c>
      <c r="D11" s="3" t="n">
        <v>13494</v>
      </c>
      <c r="E11" s="3" t="n">
        <v>0</v>
      </c>
      <c r="F11" t="n">
        <v>60</v>
      </c>
      <c r="G11">
        <f>ROUND((D11-E11)/F11,2)</f>
        <v/>
      </c>
      <c r="H11" s="3" t="n">
        <v>1574.3</v>
      </c>
      <c r="I11" s="3" t="n">
        <v>224.9</v>
      </c>
      <c r="J11" s="3" t="n">
        <v>224.9</v>
      </c>
      <c r="K11" s="3" t="n">
        <v>224.9</v>
      </c>
      <c r="L11" s="3" t="n">
        <v>224.9</v>
      </c>
      <c r="M11" s="3" t="n">
        <v>224.9</v>
      </c>
      <c r="N11" s="3" t="n">
        <v>224.9</v>
      </c>
      <c r="O11" s="3" t="n">
        <v>224.9</v>
      </c>
      <c r="P11" s="3" t="n">
        <v>224.9</v>
      </c>
      <c r="Q11" s="3" t="n">
        <v>224.9</v>
      </c>
      <c r="R11" s="3" t="n">
        <v>224.9</v>
      </c>
      <c r="S11" s="3" t="n">
        <v>224.9</v>
      </c>
      <c r="T11" s="3" t="n">
        <v>224.9</v>
      </c>
      <c r="U11">
        <f>SUM(I11:T11)</f>
        <v/>
      </c>
      <c r="V11">
        <f>H11+U11</f>
        <v/>
      </c>
      <c r="W11">
        <f>D11-V11</f>
        <v/>
      </c>
    </row>
    <row r="12">
      <c r="A12" t="inlineStr">
        <is>
          <t>FA-175</t>
        </is>
      </c>
      <c r="B12" t="inlineStr">
        <is>
          <t>GBC Catena roll laminator</t>
        </is>
      </c>
      <c r="C12" s="2" t="n">
        <v>46091</v>
      </c>
      <c r="D12" s="3" t="n">
        <v>7828.8</v>
      </c>
      <c r="E12" s="3" t="n">
        <v>0</v>
      </c>
      <c r="F12" t="n">
        <v>60</v>
      </c>
      <c r="G12">
        <f>ROUND((D12-E12)/F12,2)</f>
        <v/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130.48</v>
      </c>
      <c r="M12" s="3" t="n">
        <v>130.48</v>
      </c>
      <c r="N12" s="3" t="n">
        <v>130.48</v>
      </c>
      <c r="O12" s="3" t="n">
        <v>130.48</v>
      </c>
      <c r="P12" s="3" t="n">
        <v>130.48</v>
      </c>
      <c r="Q12" s="3" t="n">
        <v>130.48</v>
      </c>
      <c r="R12" s="3" t="n">
        <v>130.48</v>
      </c>
      <c r="S12" s="3" t="n">
        <v>130.48</v>
      </c>
      <c r="T12" s="3" t="n">
        <v>130.48</v>
      </c>
      <c r="U12">
        <f>SUM(I12:T12)</f>
        <v/>
      </c>
      <c r="V12">
        <f>H12+U12</f>
        <v/>
      </c>
      <c r="W12">
        <f>D12-V12</f>
        <v/>
      </c>
    </row>
    <row r="13">
      <c r="A13" t="inlineStr">
        <is>
          <t>FA-198</t>
        </is>
      </c>
      <c r="B13" t="inlineStr">
        <is>
          <t>2026 Ford Transit 250 cargo van</t>
        </is>
      </c>
      <c r="C13" s="2" t="n">
        <v>46174</v>
      </c>
      <c r="D13" s="3" t="n">
        <v>50261.4</v>
      </c>
      <c r="E13" s="3" t="n">
        <v>9600</v>
      </c>
      <c r="F13" t="n">
        <v>60</v>
      </c>
      <c r="G13">
        <f>ROUND((D13-E13)/F13,2)</f>
        <v/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677.6900000000001</v>
      </c>
      <c r="P13" s="3" t="n">
        <v>677.6900000000001</v>
      </c>
      <c r="Q13" s="3" t="n">
        <v>677.6900000000001</v>
      </c>
      <c r="R13" s="3" t="n">
        <v>677.6900000000001</v>
      </c>
      <c r="S13" s="3" t="n">
        <v>677.6900000000001</v>
      </c>
      <c r="T13" s="3" t="n">
        <v>677.6900000000001</v>
      </c>
      <c r="U13">
        <f>SUM(I13:T13)</f>
        <v/>
      </c>
      <c r="V13">
        <f>H13+U13</f>
        <v/>
      </c>
      <c r="W13">
        <f>D13-V13</f>
        <v/>
      </c>
    </row>
    <row r="14">
      <c r="A14" t="inlineStr">
        <is>
          <t>Total</t>
        </is>
      </c>
      <c r="D14">
        <f>SUM(D2:D13)</f>
        <v/>
      </c>
      <c r="E14">
        <f>SUM(E2:E13)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  <c r="S14">
        <f>SUM(S2:S13)</f>
        <v/>
      </c>
      <c r="T14">
        <f>SUM(T2:T13)</f>
        <v/>
      </c>
      <c r="U14">
        <f>SUM(U2:U13)</f>
        <v/>
      </c>
      <c r="V14">
        <f>SUM(V2:V13)</f>
        <v/>
      </c>
      <c r="W14">
        <f>SUM(W2:W13)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Quill &amp; Ink</dc:creator>
  <dcterms:created xsi:type="dcterms:W3CDTF">2026-01-15T09:00:00Z</dcterms:created>
  <dcterms:modified xsi:type="dcterms:W3CDTF">2026-01-15T09:00:00Z</dcterms:modified>
  <cp:lastModifiedBy>Quill &amp; Ink</cp:lastModifiedBy>
</cp:coreProperties>
</file>