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6" max="6"/>
    <col width="12" customWidth="1" min="7" max="7"/>
    <col width="12" customWidth="1" min="8" max="8"/>
    <col width="15" customWidth="1" min="12" max="12"/>
    <col width="36" customWidth="1" min="14" max="14"/>
  </cols>
  <sheetData>
    <row r="1">
      <c r="A1" s="1" t="inlineStr">
        <is>
          <t>Unit</t>
        </is>
      </c>
      <c r="B1" s="1" t="inlineStr">
        <is>
          <t>Building</t>
        </is>
      </c>
      <c r="C1" s="1" t="inlineStr">
        <is>
          <t>Bed/Bath</t>
        </is>
      </c>
      <c r="D1" s="1" t="inlineStr">
        <is>
          <t>Sq ft</t>
        </is>
      </c>
      <c r="E1" s="1" t="inlineStr">
        <is>
          <t>Market rent</t>
        </is>
      </c>
      <c r="F1" s="1" t="inlineStr">
        <is>
          <t>Tenant</t>
        </is>
      </c>
      <c r="G1" s="1" t="inlineStr">
        <is>
          <t>Lease start</t>
        </is>
      </c>
      <c r="H1" s="1" t="inlineStr">
        <is>
          <t>Lease end</t>
        </is>
      </c>
      <c r="I1" s="1" t="inlineStr">
        <is>
          <t>Lease rent</t>
        </is>
      </c>
      <c r="J1" s="1" t="inlineStr">
        <is>
          <t>MTM fee</t>
        </is>
      </c>
      <c r="K1" s="1" t="inlineStr">
        <is>
          <t>Monthly rent</t>
        </is>
      </c>
      <c r="L1" s="1" t="inlineStr">
        <is>
          <t>Status</t>
        </is>
      </c>
      <c r="M1" s="1" t="inlineStr">
        <is>
          <t>Expiring by 12/31</t>
        </is>
      </c>
      <c r="N1" s="1" t="inlineStr">
        <is>
          <t>Notes</t>
        </is>
      </c>
    </row>
    <row r="2">
      <c r="A2" t="inlineStr">
        <is>
          <t>A-101</t>
        </is>
      </c>
      <c r="B2" t="inlineStr">
        <is>
          <t>Alder Court</t>
        </is>
      </c>
      <c r="C2" t="inlineStr">
        <is>
          <t>2 bd/1 ba</t>
        </is>
      </c>
      <c r="D2" t="n">
        <v>850</v>
      </c>
      <c r="E2" t="n">
        <v>1650</v>
      </c>
      <c r="F2" t="inlineStr">
        <is>
          <t>William Anderson</t>
        </is>
      </c>
      <c r="G2" s="2" t="n">
        <v>46023</v>
      </c>
      <c r="H2" s="2" t="n">
        <v>46387</v>
      </c>
      <c r="I2" t="n">
        <v>1590</v>
      </c>
      <c r="J2" t="n">
        <v>0</v>
      </c>
      <c r="K2">
        <f>I2+J2</f>
        <v/>
      </c>
      <c r="L2" t="inlineStr">
        <is>
          <t>Occupied</t>
        </is>
      </c>
      <c r="M2" t="inlineStr">
        <is>
          <t>Yes</t>
        </is>
      </c>
    </row>
    <row r="3">
      <c r="A3" t="inlineStr">
        <is>
          <t>A-102</t>
        </is>
      </c>
      <c r="B3" t="inlineStr">
        <is>
          <t>Alder Court</t>
        </is>
      </c>
      <c r="C3" t="inlineStr">
        <is>
          <t>1 bd/1 ba</t>
        </is>
      </c>
      <c r="D3" t="n">
        <v>700</v>
      </c>
      <c r="E3" t="n">
        <v>1375</v>
      </c>
      <c r="F3" t="inlineStr">
        <is>
          <t>David Brown</t>
        </is>
      </c>
      <c r="G3" s="2" t="n">
        <v>46266</v>
      </c>
      <c r="H3" s="2" t="n">
        <v>46630</v>
      </c>
      <c r="I3" t="n">
        <v>1265</v>
      </c>
      <c r="J3" t="n">
        <v>0</v>
      </c>
      <c r="K3">
        <f>I3+J3</f>
        <v/>
      </c>
      <c r="L3" t="inlineStr">
        <is>
          <t>Occupied</t>
        </is>
      </c>
    </row>
    <row r="4">
      <c r="A4" t="inlineStr">
        <is>
          <t>A-103</t>
        </is>
      </c>
      <c r="B4" t="inlineStr">
        <is>
          <t>Alder Court</t>
        </is>
      </c>
      <c r="C4" t="inlineStr">
        <is>
          <t>1 bd/1 ba</t>
        </is>
      </c>
      <c r="D4" t="n">
        <v>690</v>
      </c>
      <c r="E4" t="n">
        <v>1275</v>
      </c>
      <c r="F4" t="inlineStr">
        <is>
          <t>Jennifer Myers</t>
        </is>
      </c>
      <c r="G4" s="2" t="n">
        <v>45748</v>
      </c>
      <c r="H4" s="2" t="n">
        <v>46112</v>
      </c>
      <c r="I4" t="n">
        <v>1115</v>
      </c>
      <c r="J4" t="n">
        <v>75</v>
      </c>
      <c r="K4">
        <f>I4+J4</f>
        <v/>
      </c>
      <c r="L4" t="inlineStr">
        <is>
          <t>Month-to-month</t>
        </is>
      </c>
      <c r="N4" t="inlineStr">
        <is>
          <t>lease ended 2026-03-31; $75 month-to-month fee</t>
        </is>
      </c>
    </row>
    <row r="5">
      <c r="A5" t="inlineStr">
        <is>
          <t>A-104</t>
        </is>
      </c>
      <c r="B5" t="inlineStr">
        <is>
          <t>Alder Court</t>
        </is>
      </c>
      <c r="C5" t="inlineStr">
        <is>
          <t>Studio/1 ba</t>
        </is>
      </c>
      <c r="D5" t="n">
        <v>510</v>
      </c>
      <c r="E5" t="n">
        <v>1125</v>
      </c>
      <c r="F5" t="inlineStr">
        <is>
          <t>Robert Mitchell &amp; Steven Taylor</t>
        </is>
      </c>
      <c r="G5" s="2" t="n">
        <v>46266</v>
      </c>
      <c r="H5" s="2" t="n">
        <v>46630</v>
      </c>
      <c r="I5" t="n">
        <v>1015</v>
      </c>
      <c r="J5" t="n">
        <v>0</v>
      </c>
      <c r="K5">
        <f>I5+J5</f>
        <v/>
      </c>
      <c r="L5" t="inlineStr">
        <is>
          <t>Occupied</t>
        </is>
      </c>
    </row>
    <row r="6">
      <c r="A6" t="inlineStr">
        <is>
          <t>A-105</t>
        </is>
      </c>
      <c r="B6" t="inlineStr">
        <is>
          <t>Alder Court</t>
        </is>
      </c>
      <c r="C6" t="inlineStr">
        <is>
          <t>2 bd/2 ba</t>
        </is>
      </c>
      <c r="D6" t="n">
        <v>920</v>
      </c>
      <c r="E6" t="n">
        <v>1775</v>
      </c>
      <c r="F6" t="inlineStr">
        <is>
          <t>Christopher Long</t>
        </is>
      </c>
      <c r="G6" s="2" t="n">
        <v>46174</v>
      </c>
      <c r="H6" s="2" t="n">
        <v>46538</v>
      </c>
      <c r="I6" t="n">
        <v>1735</v>
      </c>
      <c r="J6" t="n">
        <v>0</v>
      </c>
      <c r="K6">
        <f>I6+J6</f>
        <v/>
      </c>
      <c r="L6" t="inlineStr">
        <is>
          <t>Occupied</t>
        </is>
      </c>
    </row>
    <row r="7">
      <c r="A7" t="inlineStr">
        <is>
          <t>A-106</t>
        </is>
      </c>
      <c r="B7" t="inlineStr">
        <is>
          <t>Alder Court</t>
        </is>
      </c>
      <c r="C7" t="inlineStr">
        <is>
          <t>2 bd/2 ba</t>
        </is>
      </c>
      <c r="D7" t="n">
        <v>920</v>
      </c>
      <c r="E7" t="n">
        <v>1625</v>
      </c>
      <c r="F7" t="inlineStr">
        <is>
          <t>VACANT</t>
        </is>
      </c>
      <c r="I7" t="n">
        <v>0</v>
      </c>
      <c r="J7" t="n">
        <v>0</v>
      </c>
      <c r="K7">
        <f>I7+J7</f>
        <v/>
      </c>
      <c r="L7" t="inlineStr">
        <is>
          <t>Vacant</t>
        </is>
      </c>
      <c r="N7" t="inlineStr">
        <is>
          <t>pre-leased from 2026-10-15</t>
        </is>
      </c>
    </row>
    <row r="8">
      <c r="A8" t="inlineStr">
        <is>
          <t>A-107</t>
        </is>
      </c>
      <c r="B8" t="inlineStr">
        <is>
          <t>Alder Court</t>
        </is>
      </c>
      <c r="C8" t="inlineStr">
        <is>
          <t>Studio/1 ba</t>
        </is>
      </c>
      <c r="D8" t="n">
        <v>420</v>
      </c>
      <c r="E8" t="n">
        <v>1075</v>
      </c>
      <c r="F8" t="inlineStr">
        <is>
          <t>Deborah Ramos</t>
        </is>
      </c>
      <c r="G8" s="2" t="n">
        <v>46174</v>
      </c>
      <c r="H8" s="2" t="n">
        <v>46538</v>
      </c>
      <c r="I8" t="n">
        <v>1065</v>
      </c>
      <c r="J8" t="n">
        <v>0</v>
      </c>
      <c r="K8">
        <f>I8+J8</f>
        <v/>
      </c>
      <c r="L8" t="inlineStr">
        <is>
          <t>Occupied</t>
        </is>
      </c>
    </row>
    <row r="9">
      <c r="A9" t="inlineStr">
        <is>
          <t>A-201</t>
        </is>
      </c>
      <c r="B9" t="inlineStr">
        <is>
          <t>Alder Court</t>
        </is>
      </c>
      <c r="C9" t="inlineStr">
        <is>
          <t>3 bd/2 ba</t>
        </is>
      </c>
      <c r="D9" t="n">
        <v>1110</v>
      </c>
      <c r="E9" t="n">
        <v>2175</v>
      </c>
      <c r="F9" t="inlineStr">
        <is>
          <t>Jennifer Osei</t>
        </is>
      </c>
      <c r="G9" s="2" t="n">
        <v>46266</v>
      </c>
      <c r="H9" s="2" t="n">
        <v>46630</v>
      </c>
      <c r="I9" t="n">
        <v>2095</v>
      </c>
      <c r="J9" t="n">
        <v>0</v>
      </c>
      <c r="K9">
        <f>I9+J9</f>
        <v/>
      </c>
      <c r="L9" t="inlineStr">
        <is>
          <t>Occupied</t>
        </is>
      </c>
    </row>
    <row r="10">
      <c r="A10" t="inlineStr">
        <is>
          <t>A-202</t>
        </is>
      </c>
      <c r="B10" t="inlineStr">
        <is>
          <t>Alder Court</t>
        </is>
      </c>
      <c r="C10" t="inlineStr">
        <is>
          <t>2 bd/1 ba</t>
        </is>
      </c>
      <c r="D10" t="n">
        <v>920</v>
      </c>
      <c r="E10" t="n">
        <v>1600</v>
      </c>
      <c r="F10" t="inlineStr">
        <is>
          <t>Ashley Martin</t>
        </is>
      </c>
      <c r="G10" s="2" t="n">
        <v>46204</v>
      </c>
      <c r="H10" s="2" t="n">
        <v>46568</v>
      </c>
      <c r="I10" t="n">
        <v>1570</v>
      </c>
      <c r="J10" t="n">
        <v>0</v>
      </c>
      <c r="K10">
        <f>I10+J10</f>
        <v/>
      </c>
      <c r="L10" t="inlineStr">
        <is>
          <t>Occupied</t>
        </is>
      </c>
    </row>
    <row r="11">
      <c r="A11" t="inlineStr">
        <is>
          <t>A-203</t>
        </is>
      </c>
      <c r="B11" t="inlineStr">
        <is>
          <t>Alder Court</t>
        </is>
      </c>
      <c r="C11" t="inlineStr">
        <is>
          <t>1 bd/1 ba</t>
        </is>
      </c>
      <c r="D11" t="n">
        <v>600</v>
      </c>
      <c r="E11" t="n">
        <v>1275</v>
      </c>
      <c r="F11" t="inlineStr">
        <is>
          <t>Kwame Ross</t>
        </is>
      </c>
      <c r="G11" s="2" t="n">
        <v>46189</v>
      </c>
      <c r="H11" s="2" t="n">
        <v>46553</v>
      </c>
      <c r="I11" t="n">
        <v>1245</v>
      </c>
      <c r="J11" t="n">
        <v>0</v>
      </c>
      <c r="K11">
        <f>I11+J11</f>
        <v/>
      </c>
      <c r="L11" t="inlineStr">
        <is>
          <t>Occupied</t>
        </is>
      </c>
    </row>
    <row r="12">
      <c r="A12" t="inlineStr">
        <is>
          <t>A-204</t>
        </is>
      </c>
      <c r="B12" t="inlineStr">
        <is>
          <t>Alder Court</t>
        </is>
      </c>
      <c r="C12" t="inlineStr">
        <is>
          <t>1 bd/1 ba</t>
        </is>
      </c>
      <c r="D12" t="n">
        <v>620</v>
      </c>
      <c r="E12" t="n">
        <v>1325</v>
      </c>
      <c r="F12" t="inlineStr">
        <is>
          <t>Joseph Torres</t>
        </is>
      </c>
      <c r="G12" s="2" t="n">
        <v>45748</v>
      </c>
      <c r="H12" s="2" t="n">
        <v>46112</v>
      </c>
      <c r="I12" t="n">
        <v>1180</v>
      </c>
      <c r="J12" t="n">
        <v>75</v>
      </c>
      <c r="K12">
        <f>I12+J12</f>
        <v/>
      </c>
      <c r="L12" t="inlineStr">
        <is>
          <t>Month-to-month</t>
        </is>
      </c>
      <c r="N12" t="inlineStr">
        <is>
          <t>lease ended 2026-03-31; $75 month-to-month fee</t>
        </is>
      </c>
    </row>
    <row r="13">
      <c r="A13" t="inlineStr">
        <is>
          <t>A-205</t>
        </is>
      </c>
      <c r="B13" t="inlineStr">
        <is>
          <t>Alder Court</t>
        </is>
      </c>
      <c r="C13" t="inlineStr">
        <is>
          <t>1 bd/1 ba</t>
        </is>
      </c>
      <c r="D13" t="n">
        <v>680</v>
      </c>
      <c r="E13" t="n">
        <v>1350</v>
      </c>
      <c r="F13" t="inlineStr">
        <is>
          <t>VACANT</t>
        </is>
      </c>
      <c r="I13" t="n">
        <v>0</v>
      </c>
      <c r="J13" t="n">
        <v>0</v>
      </c>
      <c r="K13">
        <f>I13+J13</f>
        <v/>
      </c>
      <c r="L13" t="inlineStr">
        <is>
          <t>Vacant</t>
        </is>
      </c>
      <c r="N13" t="inlineStr">
        <is>
          <t>renovated this summer, not yet listed</t>
        </is>
      </c>
    </row>
    <row r="14">
      <c r="A14" t="inlineStr">
        <is>
          <t>A-206</t>
        </is>
      </c>
      <c r="B14" t="inlineStr">
        <is>
          <t>Alder Court</t>
        </is>
      </c>
      <c r="C14" t="inlineStr">
        <is>
          <t>1 bd/1 ba</t>
        </is>
      </c>
      <c r="D14" t="n">
        <v>670</v>
      </c>
      <c r="E14" t="n">
        <v>1375</v>
      </c>
      <c r="F14" t="inlineStr">
        <is>
          <t>Amanda Morales</t>
        </is>
      </c>
      <c r="G14" s="2" t="n">
        <v>46023</v>
      </c>
      <c r="H14" s="2" t="n">
        <v>46387</v>
      </c>
      <c r="I14" t="n">
        <v>1265</v>
      </c>
      <c r="J14" t="n">
        <v>0</v>
      </c>
      <c r="K14">
        <f>I14+J14</f>
        <v/>
      </c>
      <c r="L14" t="inlineStr">
        <is>
          <t>Occupied</t>
        </is>
      </c>
      <c r="M14" t="inlineStr">
        <is>
          <t>Yes</t>
        </is>
      </c>
    </row>
    <row r="15">
      <c r="A15" t="inlineStr">
        <is>
          <t>A-207</t>
        </is>
      </c>
      <c r="B15" t="inlineStr">
        <is>
          <t>Alder Court</t>
        </is>
      </c>
      <c r="C15" t="inlineStr">
        <is>
          <t>3 bd/2 ba</t>
        </is>
      </c>
      <c r="D15" t="n">
        <v>1140</v>
      </c>
      <c r="E15" t="n">
        <v>2050</v>
      </c>
      <c r="F15" t="inlineStr">
        <is>
          <t>Patricia Flores &amp; Laura Peterson</t>
        </is>
      </c>
      <c r="G15" s="2" t="n">
        <v>45962</v>
      </c>
      <c r="H15" s="2" t="n">
        <v>46326</v>
      </c>
      <c r="I15" t="n">
        <v>1975</v>
      </c>
      <c r="J15" t="n">
        <v>0</v>
      </c>
      <c r="K15">
        <f>I15+J15</f>
        <v/>
      </c>
      <c r="L15" t="inlineStr">
        <is>
          <t>Occupied</t>
        </is>
      </c>
      <c r="M15" t="inlineStr">
        <is>
          <t>Yes</t>
        </is>
      </c>
    </row>
    <row r="16">
      <c r="A16" t="inlineStr">
        <is>
          <t>B-101</t>
        </is>
      </c>
      <c r="B16" t="inlineStr">
        <is>
          <t>Birch House</t>
        </is>
      </c>
      <c r="C16" t="inlineStr">
        <is>
          <t>3 bd/1 ba</t>
        </is>
      </c>
      <c r="D16" t="n">
        <v>1110</v>
      </c>
      <c r="E16" t="n">
        <v>2125</v>
      </c>
      <c r="F16" t="inlineStr">
        <is>
          <t>Stephanie Richardson &amp; Jacob Lewis</t>
        </is>
      </c>
      <c r="G16" s="2" t="n">
        <v>46250</v>
      </c>
      <c r="H16" s="2" t="n">
        <v>46614</v>
      </c>
      <c r="I16" t="n">
        <v>2070</v>
      </c>
      <c r="J16" t="n">
        <v>0</v>
      </c>
      <c r="K16">
        <f>I16+J16</f>
        <v/>
      </c>
      <c r="L16" t="inlineStr">
        <is>
          <t>Occupied</t>
        </is>
      </c>
    </row>
    <row r="17">
      <c r="A17" t="inlineStr">
        <is>
          <t>B-102</t>
        </is>
      </c>
      <c r="B17" t="inlineStr">
        <is>
          <t>Birch House</t>
        </is>
      </c>
      <c r="C17" t="inlineStr">
        <is>
          <t>2 bd/1 ba</t>
        </is>
      </c>
      <c r="D17" t="n">
        <v>910</v>
      </c>
      <c r="E17" t="n">
        <v>1625</v>
      </c>
      <c r="F17" t="inlineStr">
        <is>
          <t>Barbara Bennett</t>
        </is>
      </c>
      <c r="G17" s="2" t="n">
        <v>45962</v>
      </c>
      <c r="H17" s="2" t="n">
        <v>46326</v>
      </c>
      <c r="I17" t="n">
        <v>1580</v>
      </c>
      <c r="J17" t="n">
        <v>0</v>
      </c>
      <c r="K17">
        <f>I17+J17</f>
        <v/>
      </c>
      <c r="L17" t="inlineStr">
        <is>
          <t>Occupied</t>
        </is>
      </c>
      <c r="M17" t="inlineStr">
        <is>
          <t>Yes</t>
        </is>
      </c>
    </row>
    <row r="18">
      <c r="A18" t="inlineStr">
        <is>
          <t>B-103</t>
        </is>
      </c>
      <c r="B18" t="inlineStr">
        <is>
          <t>Birch House</t>
        </is>
      </c>
      <c r="C18" t="inlineStr">
        <is>
          <t>2 bd/2 ba</t>
        </is>
      </c>
      <c r="D18" t="n">
        <v>940</v>
      </c>
      <c r="E18" t="n">
        <v>1775</v>
      </c>
      <c r="F18" t="inlineStr">
        <is>
          <t>Nadia Green</t>
        </is>
      </c>
      <c r="G18" s="2" t="n">
        <v>46023</v>
      </c>
      <c r="H18" s="2" t="n">
        <v>46387</v>
      </c>
      <c r="I18" t="n">
        <v>1695</v>
      </c>
      <c r="J18" t="n">
        <v>0</v>
      </c>
      <c r="K18">
        <f>I18+J18</f>
        <v/>
      </c>
      <c r="L18" t="inlineStr">
        <is>
          <t>Occupied</t>
        </is>
      </c>
      <c r="M18" t="inlineStr">
        <is>
          <t>Yes</t>
        </is>
      </c>
    </row>
    <row r="19">
      <c r="A19" t="inlineStr">
        <is>
          <t>B-104</t>
        </is>
      </c>
      <c r="B19" t="inlineStr">
        <is>
          <t>Birch House</t>
        </is>
      </c>
      <c r="C19" t="inlineStr">
        <is>
          <t>2 bd/2 ba</t>
        </is>
      </c>
      <c r="D19" t="n">
        <v>930</v>
      </c>
      <c r="E19" t="n">
        <v>1725</v>
      </c>
      <c r="F19" t="inlineStr">
        <is>
          <t>VACANT</t>
        </is>
      </c>
      <c r="I19" t="n">
        <v>0</v>
      </c>
      <c r="J19" t="n">
        <v>0</v>
      </c>
      <c r="K19">
        <f>I19+J19</f>
        <v/>
      </c>
      <c r="L19" t="inlineStr">
        <is>
          <t>Vacant</t>
        </is>
      </c>
    </row>
    <row r="20">
      <c r="A20" t="inlineStr">
        <is>
          <t>B-105</t>
        </is>
      </c>
      <c r="B20" t="inlineStr">
        <is>
          <t>Birch House</t>
        </is>
      </c>
      <c r="C20" t="inlineStr">
        <is>
          <t>2 bd/2 ba</t>
        </is>
      </c>
      <c r="D20" t="n">
        <v>910</v>
      </c>
      <c r="E20" t="n">
        <v>1725</v>
      </c>
      <c r="F20" t="inlineStr">
        <is>
          <t>Hiroshi Lindqvist</t>
        </is>
      </c>
      <c r="G20" s="2" t="n">
        <v>46296</v>
      </c>
      <c r="H20" s="2" t="n">
        <v>46660</v>
      </c>
      <c r="I20" t="n">
        <v>1710</v>
      </c>
      <c r="J20" t="n">
        <v>0</v>
      </c>
      <c r="K20">
        <f>I20+J20</f>
        <v/>
      </c>
      <c r="L20" t="inlineStr">
        <is>
          <t>Occupied</t>
        </is>
      </c>
    </row>
    <row r="21">
      <c r="A21" t="inlineStr">
        <is>
          <t>B-201</t>
        </is>
      </c>
      <c r="B21" t="inlineStr">
        <is>
          <t>Birch House</t>
        </is>
      </c>
      <c r="C21" t="inlineStr">
        <is>
          <t>3 bd/1 ba</t>
        </is>
      </c>
      <c r="D21" t="n">
        <v>1140</v>
      </c>
      <c r="E21" t="n">
        <v>2025</v>
      </c>
      <c r="F21" t="inlineStr">
        <is>
          <t>Charles Baker &amp; Ingrid Turner</t>
        </is>
      </c>
      <c r="G21" s="2" t="n">
        <v>46219</v>
      </c>
      <c r="H21" s="2" t="n">
        <v>46583</v>
      </c>
      <c r="I21" t="n">
        <v>1990</v>
      </c>
      <c r="J21" t="n">
        <v>0</v>
      </c>
      <c r="K21">
        <f>I21+J21</f>
        <v/>
      </c>
      <c r="L21" t="inlineStr">
        <is>
          <t>Occupied</t>
        </is>
      </c>
    </row>
    <row r="22">
      <c r="A22" t="inlineStr">
        <is>
          <t>B-202</t>
        </is>
      </c>
      <c r="B22" t="inlineStr">
        <is>
          <t>Birch House</t>
        </is>
      </c>
      <c r="C22" t="inlineStr">
        <is>
          <t>2 bd/2 ba</t>
        </is>
      </c>
      <c r="D22" t="n">
        <v>880</v>
      </c>
      <c r="E22" t="n">
        <v>1800</v>
      </c>
      <c r="F22" t="inlineStr">
        <is>
          <t>Aisha Williams</t>
        </is>
      </c>
      <c r="G22" s="2" t="n">
        <v>45839</v>
      </c>
      <c r="H22" s="2" t="n">
        <v>46203</v>
      </c>
      <c r="I22" t="n">
        <v>1655</v>
      </c>
      <c r="J22" t="n">
        <v>75</v>
      </c>
      <c r="K22">
        <f>I22+J22</f>
        <v/>
      </c>
      <c r="L22" t="inlineStr">
        <is>
          <t>Month-to-month</t>
        </is>
      </c>
      <c r="N22" t="inlineStr">
        <is>
          <t>lease ended 2026-06-30; $75 month-to-month fee</t>
        </is>
      </c>
    </row>
    <row r="23">
      <c r="A23" t="inlineStr">
        <is>
          <t>B-203</t>
        </is>
      </c>
      <c r="B23" t="inlineStr">
        <is>
          <t>Birch House</t>
        </is>
      </c>
      <c r="C23" t="inlineStr">
        <is>
          <t>3 bd/2 ba</t>
        </is>
      </c>
      <c r="D23" t="n">
        <v>1090</v>
      </c>
      <c r="E23" t="n">
        <v>2125</v>
      </c>
      <c r="F23" t="inlineStr">
        <is>
          <t>Leila Bailey</t>
        </is>
      </c>
      <c r="G23" s="2" t="n">
        <v>46296</v>
      </c>
      <c r="H23" s="2" t="n">
        <v>46660</v>
      </c>
      <c r="I23" t="n">
        <v>2010</v>
      </c>
      <c r="J23" t="n">
        <v>0</v>
      </c>
      <c r="K23">
        <f>I23+J23</f>
        <v/>
      </c>
      <c r="L23" t="inlineStr">
        <is>
          <t>Occupied</t>
        </is>
      </c>
    </row>
    <row r="24">
      <c r="A24" t="inlineStr">
        <is>
          <t>B-204</t>
        </is>
      </c>
      <c r="B24" t="inlineStr">
        <is>
          <t>Birch House</t>
        </is>
      </c>
      <c r="C24" t="inlineStr">
        <is>
          <t>2 bd/2 ba</t>
        </is>
      </c>
      <c r="D24" t="n">
        <v>940</v>
      </c>
      <c r="E24" t="n">
        <v>1700</v>
      </c>
      <c r="F24" t="inlineStr">
        <is>
          <t>Sarah Gray</t>
        </is>
      </c>
      <c r="G24" s="2" t="n">
        <v>46054</v>
      </c>
      <c r="H24" s="2" t="n">
        <v>46418</v>
      </c>
      <c r="I24" t="n">
        <v>1690</v>
      </c>
      <c r="J24" t="n">
        <v>0</v>
      </c>
      <c r="K24">
        <f>I24+J24</f>
        <v/>
      </c>
      <c r="L24" t="inlineStr">
        <is>
          <t>Occupied</t>
        </is>
      </c>
    </row>
    <row r="25">
      <c r="A25" t="inlineStr">
        <is>
          <t>B-205</t>
        </is>
      </c>
      <c r="B25" t="inlineStr">
        <is>
          <t>Birch House</t>
        </is>
      </c>
      <c r="C25" t="inlineStr">
        <is>
          <t>Studio/1 ba</t>
        </is>
      </c>
      <c r="D25" t="n">
        <v>470</v>
      </c>
      <c r="E25" t="n">
        <v>1125</v>
      </c>
      <c r="F25" t="inlineStr">
        <is>
          <t>Linda Allen</t>
        </is>
      </c>
      <c r="G25" s="2" t="n">
        <v>45962</v>
      </c>
      <c r="H25" s="2" t="n">
        <v>46326</v>
      </c>
      <c r="I25" t="n">
        <v>1105</v>
      </c>
      <c r="J25" t="n">
        <v>0</v>
      </c>
      <c r="K25">
        <f>I25+J25</f>
        <v/>
      </c>
      <c r="L25" t="inlineStr">
        <is>
          <t>Occupied</t>
        </is>
      </c>
      <c r="M25" t="inlineStr">
        <is>
          <t>Yes</t>
        </is>
      </c>
    </row>
    <row r="27">
      <c r="A27" t="inlineStr">
        <is>
          <t>Total monthly rent</t>
        </is>
      </c>
      <c r="E27">
        <f>SUM(E2:E25)</f>
        <v/>
      </c>
      <c r="I27">
        <f>SUM(I2:I25)</f>
        <v/>
      </c>
      <c r="J27">
        <f>SUM(J2:J25)</f>
        <v/>
      </c>
      <c r="K27">
        <f>SUM(K2:K25)</f>
        <v/>
      </c>
    </row>
    <row r="28">
      <c r="A28" t="inlineStr">
        <is>
          <t>Occupied units</t>
        </is>
      </c>
      <c r="K28">
        <f>COUNTIF(L2:L25,"Occupied")+COUNTIF(L2:L25,"Month-to-month")</f>
        <v/>
      </c>
    </row>
    <row r="29">
      <c r="A29" t="inlineStr">
        <is>
          <t>Vacant units</t>
        </is>
      </c>
      <c r="K29">
        <f>COUNTIF(L2:L25,"Vacant")</f>
        <v/>
      </c>
    </row>
    <row r="30">
      <c r="A30" t="inlineStr">
        <is>
          <t>Leases expiring Oct 1 - Dec 31</t>
        </is>
      </c>
      <c r="K30">
        <f>COUNTIF(M2:M25,"Yes")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