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nd" sheetId="2" state="visible" r:id="rId2"/>
    <sheet name="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5" max="5"/>
    <col width="14" customWidth="1" min="7" max="7"/>
  </cols>
  <sheetData>
    <row r="1">
      <c r="A1" s="1" t="inlineStr">
        <is>
          <t>Channel</t>
        </is>
      </c>
      <c r="B1" s="1" t="inlineStr">
        <is>
          <t>2026-04</t>
        </is>
      </c>
      <c r="C1" s="1" t="inlineStr">
        <is>
          <t>2026-05</t>
        </is>
      </c>
      <c r="D1" s="1" t="inlineStr">
        <is>
          <t>2026-06</t>
        </is>
      </c>
      <c r="E1" s="1" t="inlineStr">
        <is>
          <t>Q2 spend (USD)</t>
        </is>
      </c>
      <c r="F1" s="1" t="inlineStr">
        <is>
          <t>Leads</t>
        </is>
      </c>
      <c r="G1" s="1" t="inlineStr">
        <is>
          <t>Cost per lead</t>
        </is>
      </c>
    </row>
    <row r="2">
      <c r="A2" t="inlineStr">
        <is>
          <t>Google Ads</t>
        </is>
      </c>
      <c r="B2">
        <f>SUMIFS(Spend!$G$2:$G$33,Spend!$B$2:$B$33,$A2,Spend!$A$2:$A$33,B$1)</f>
        <v/>
      </c>
      <c r="C2">
        <f>SUMIFS(Spend!$G$2:$G$33,Spend!$B$2:$B$33,$A2,Spend!$A$2:$A$33,C$1)</f>
        <v/>
      </c>
      <c r="D2">
        <f>SUMIFS(Spend!$G$2:$G$33,Spend!$B$2:$B$33,$A2,Spend!$A$2:$A$33,D$1)</f>
        <v/>
      </c>
      <c r="E2">
        <f>ROUND(SUM(B2:D2),2)</f>
        <v/>
      </c>
      <c r="F2">
        <f>COUNTIF(Leads!$D$2:$D$254,$A2)</f>
        <v/>
      </c>
      <c r="G2">
        <f>IF(F2=0,"n/a",ROUND(E2/F2,2))</f>
        <v/>
      </c>
    </row>
    <row r="3">
      <c r="A3" t="inlineStr">
        <is>
          <t>Meta Ads</t>
        </is>
      </c>
      <c r="B3">
        <f>SUMIFS(Spend!$G$2:$G$33,Spend!$B$2:$B$33,$A3,Spend!$A$2:$A$33,B$1)</f>
        <v/>
      </c>
      <c r="C3">
        <f>SUMIFS(Spend!$G$2:$G$33,Spend!$B$2:$B$33,$A3,Spend!$A$2:$A$33,C$1)</f>
        <v/>
      </c>
      <c r="D3">
        <f>SUMIFS(Spend!$G$2:$G$33,Spend!$B$2:$B$33,$A3,Spend!$A$2:$A$33,D$1)</f>
        <v/>
      </c>
      <c r="E3">
        <f>ROUND(SUM(B3:D3),2)</f>
        <v/>
      </c>
      <c r="F3">
        <f>COUNTIF(Leads!$D$2:$D$254,$A3)</f>
        <v/>
      </c>
      <c r="G3">
        <f>IF(F3=0,"n/a",ROUND(E3/F3,2))</f>
        <v/>
      </c>
    </row>
    <row r="4">
      <c r="A4" t="inlineStr">
        <is>
          <t>LinkedIn Ads</t>
        </is>
      </c>
      <c r="B4">
        <f>SUMIFS(Spend!$G$2:$G$33,Spend!$B$2:$B$33,$A4,Spend!$A$2:$A$33,B$1)</f>
        <v/>
      </c>
      <c r="C4">
        <f>SUMIFS(Spend!$G$2:$G$33,Spend!$B$2:$B$33,$A4,Spend!$A$2:$A$33,C$1)</f>
        <v/>
      </c>
      <c r="D4">
        <f>SUMIFS(Spend!$G$2:$G$33,Spend!$B$2:$B$33,$A4,Spend!$A$2:$A$33,D$1)</f>
        <v/>
      </c>
      <c r="E4">
        <f>ROUND(SUM(B4:D4),2)</f>
        <v/>
      </c>
      <c r="F4">
        <f>COUNTIF(Leads!$D$2:$D$254,$A4)</f>
        <v/>
      </c>
      <c r="G4">
        <f>IF(F4=0,"n/a",ROUND(E4/F4,2))</f>
        <v/>
      </c>
    </row>
    <row r="5">
      <c r="A5" t="inlineStr">
        <is>
          <t>Yelp Ads</t>
        </is>
      </c>
      <c r="B5">
        <f>SUMIFS(Spend!$G$2:$G$33,Spend!$B$2:$B$33,$A5,Spend!$A$2:$A$33,B$1)</f>
        <v/>
      </c>
      <c r="C5">
        <f>SUMIFS(Spend!$G$2:$G$33,Spend!$B$2:$B$33,$A5,Spend!$A$2:$A$33,C$1)</f>
        <v/>
      </c>
      <c r="D5">
        <f>SUMIFS(Spend!$G$2:$G$33,Spend!$B$2:$B$33,$A5,Spend!$A$2:$A$33,D$1)</f>
        <v/>
      </c>
      <c r="E5">
        <f>ROUND(SUM(B5:D5),2)</f>
        <v/>
      </c>
      <c r="F5">
        <f>COUNTIF(Leads!$D$2:$D$254,$A5)</f>
        <v/>
      </c>
      <c r="G5">
        <f>IF(F5=0,"n/a",ROUND(E5/F5,2))</f>
        <v/>
      </c>
    </row>
    <row r="6">
      <c r="A6" t="inlineStr">
        <is>
          <t>Nextdoor</t>
        </is>
      </c>
      <c r="B6">
        <f>SUMIFS(Spend!$G$2:$G$33,Spend!$B$2:$B$33,$A6,Spend!$A$2:$A$33,B$1)</f>
        <v/>
      </c>
      <c r="C6">
        <f>SUMIFS(Spend!$G$2:$G$33,Spend!$B$2:$B$33,$A6,Spend!$A$2:$A$33,C$1)</f>
        <v/>
      </c>
      <c r="D6">
        <f>SUMIFS(Spend!$G$2:$G$33,Spend!$B$2:$B$33,$A6,Spend!$A$2:$A$33,D$1)</f>
        <v/>
      </c>
      <c r="E6">
        <f>ROUND(SUM(B6:D6),2)</f>
        <v/>
      </c>
      <c r="F6">
        <f>COUNTIF(Leads!$D$2:$D$254,$A6)</f>
        <v/>
      </c>
      <c r="G6">
        <f>IF(F6=0,"n/a",ROUND(E6/F6,2))</f>
        <v/>
      </c>
    </row>
    <row r="7">
      <c r="A7" t="inlineStr">
        <is>
          <t>Direct Mail</t>
        </is>
      </c>
      <c r="B7">
        <f>SUMIFS(Spend!$G$2:$G$33,Spend!$B$2:$B$33,$A7,Spend!$A$2:$A$33,B$1)</f>
        <v/>
      </c>
      <c r="C7">
        <f>SUMIFS(Spend!$G$2:$G$33,Spend!$B$2:$B$33,$A7,Spend!$A$2:$A$33,C$1)</f>
        <v/>
      </c>
      <c r="D7">
        <f>SUMIFS(Spend!$G$2:$G$33,Spend!$B$2:$B$33,$A7,Spend!$A$2:$A$33,D$1)</f>
        <v/>
      </c>
      <c r="E7">
        <f>ROUND(SUM(B7:D7),2)</f>
        <v/>
      </c>
      <c r="F7">
        <f>COUNTIF(Leads!$D$2:$D$254,$A7)</f>
        <v/>
      </c>
      <c r="G7">
        <f>IF(F7=0,"n/a",ROUND(E7/F7,2))</f>
        <v/>
      </c>
    </row>
    <row r="8">
      <c r="A8" t="inlineStr">
        <is>
          <t>Total</t>
        </is>
      </c>
      <c r="B8">
        <f>ROUND(SUM(B2:B7),2)</f>
        <v/>
      </c>
      <c r="C8">
        <f>ROUND(SUM(C2:C7),2)</f>
        <v/>
      </c>
      <c r="D8">
        <f>ROUND(SUM(D2:D7),2)</f>
        <v/>
      </c>
      <c r="E8">
        <f>ROUND(SUM(E2:E7),2)</f>
        <v/>
      </c>
      <c r="F8">
        <f>SUM(F2:F7)</f>
        <v/>
      </c>
      <c r="G8">
        <f>IF(F8=0,"n/a",ROUND(E8/F8,2))</f>
        <v/>
      </c>
    </row>
    <row r="10">
      <c r="A10" t="inlineStr">
        <is>
          <t>Spend in USD; LinkedIn converted from EUR at 1.08. Leads are CRM leads created April-June 2026 excluding Spam and Test. Direct Mail had no tracked leads.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8" customWidth="1" min="3" max="3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campaign</t>
        </is>
      </c>
      <c r="D1" s="1" t="inlineStr">
        <is>
          <t>currency</t>
        </is>
      </c>
      <c r="E1" s="1" t="inlineStr">
        <is>
          <t>spend_native</t>
        </is>
      </c>
      <c r="F1" s="1" t="inlineStr">
        <is>
          <t>rate_to_usd</t>
        </is>
      </c>
      <c r="G1" s="1" t="inlineStr">
        <is>
          <t>spend_usd</t>
        </is>
      </c>
    </row>
    <row r="2">
      <c r="A2" t="inlineStr">
        <is>
          <t>2026-04</t>
        </is>
      </c>
      <c r="B2" t="inlineStr">
        <is>
          <t>Google Ads</t>
        </is>
      </c>
      <c r="C2" t="inlineStr">
        <is>
          <t>Brand search</t>
        </is>
      </c>
      <c r="D2" t="inlineStr">
        <is>
          <t>USD</t>
        </is>
      </c>
      <c r="E2" t="n">
        <v>2492.14</v>
      </c>
      <c r="F2" t="n">
        <v>1</v>
      </c>
      <c r="G2" t="n">
        <v>2492.14</v>
      </c>
    </row>
    <row r="3">
      <c r="A3" t="inlineStr">
        <is>
          <t>2026-04</t>
        </is>
      </c>
      <c r="B3" t="inlineStr">
        <is>
          <t>Google Ads</t>
        </is>
      </c>
      <c r="C3" t="inlineStr">
        <is>
          <t>AC repair - Portland</t>
        </is>
      </c>
      <c r="D3" t="inlineStr">
        <is>
          <t>USD</t>
        </is>
      </c>
      <c r="E3" t="n">
        <v>3535.51</v>
      </c>
      <c r="F3" t="n">
        <v>1</v>
      </c>
      <c r="G3" t="n">
        <v>3535.51</v>
      </c>
    </row>
    <row r="4">
      <c r="A4" t="inlineStr">
        <is>
          <t>2026-04</t>
        </is>
      </c>
      <c r="B4" t="inlineStr">
        <is>
          <t>Google Ads</t>
        </is>
      </c>
      <c r="C4" t="inlineStr">
        <is>
          <t>Furnace tune-up</t>
        </is>
      </c>
      <c r="D4" t="inlineStr">
        <is>
          <t>USD</t>
        </is>
      </c>
      <c r="E4" t="n">
        <v>2212.27</v>
      </c>
      <c r="F4" t="n">
        <v>1</v>
      </c>
      <c r="G4" t="n">
        <v>2212.27</v>
      </c>
    </row>
    <row r="5">
      <c r="A5" t="inlineStr">
        <is>
          <t>2026-05</t>
        </is>
      </c>
      <c r="B5" t="inlineStr">
        <is>
          <t>Google Ads</t>
        </is>
      </c>
      <c r="C5" t="inlineStr">
        <is>
          <t>AC repair - Portland</t>
        </is>
      </c>
      <c r="D5" t="inlineStr">
        <is>
          <t>USD</t>
        </is>
      </c>
      <c r="E5" t="n">
        <v>3583.68</v>
      </c>
      <c r="F5" t="n">
        <v>1</v>
      </c>
      <c r="G5" t="n">
        <v>3583.68</v>
      </c>
    </row>
    <row r="6">
      <c r="A6" t="inlineStr">
        <is>
          <t>2026-05</t>
        </is>
      </c>
      <c r="B6" t="inlineStr">
        <is>
          <t>Google Ads</t>
        </is>
      </c>
      <c r="C6" t="inlineStr">
        <is>
          <t>Heat pump rebate</t>
        </is>
      </c>
      <c r="D6" t="inlineStr">
        <is>
          <t>USD</t>
        </is>
      </c>
      <c r="E6" t="n">
        <v>3332.07</v>
      </c>
      <c r="F6" t="n">
        <v>1</v>
      </c>
      <c r="G6" t="n">
        <v>3332.07</v>
      </c>
    </row>
    <row r="7">
      <c r="A7" t="inlineStr">
        <is>
          <t>2026-06</t>
        </is>
      </c>
      <c r="B7" t="inlineStr">
        <is>
          <t>Google Ads</t>
        </is>
      </c>
      <c r="C7" t="inlineStr">
        <is>
          <t>Furnace tune-up</t>
        </is>
      </c>
      <c r="D7" t="inlineStr">
        <is>
          <t>USD</t>
        </is>
      </c>
      <c r="E7" t="n">
        <v>3779.25</v>
      </c>
      <c r="F7" t="n">
        <v>1</v>
      </c>
      <c r="G7" t="n">
        <v>3779.25</v>
      </c>
    </row>
    <row r="8">
      <c r="A8" t="inlineStr">
        <is>
          <t>2026-06</t>
        </is>
      </c>
      <c r="B8" t="inlineStr">
        <is>
          <t>Google Ads</t>
        </is>
      </c>
      <c r="C8" t="inlineStr">
        <is>
          <t>Brand search</t>
        </is>
      </c>
      <c r="D8" t="inlineStr">
        <is>
          <t>USD</t>
        </is>
      </c>
      <c r="E8" t="n">
        <v>4298.6</v>
      </c>
      <c r="F8" t="n">
        <v>1</v>
      </c>
      <c r="G8" t="n">
        <v>4298.6</v>
      </c>
    </row>
    <row r="9">
      <c r="A9" t="inlineStr">
        <is>
          <t>2026-04</t>
        </is>
      </c>
      <c r="B9" t="inlineStr">
        <is>
          <t>Meta Ads</t>
        </is>
      </c>
      <c r="C9" t="inlineStr">
        <is>
          <t>Lead form - IG</t>
        </is>
      </c>
      <c r="D9" t="inlineStr">
        <is>
          <t>USD</t>
        </is>
      </c>
      <c r="E9" t="n">
        <v>1054.84</v>
      </c>
      <c r="F9" t="n">
        <v>1</v>
      </c>
      <c r="G9" t="n">
        <v>1054.84</v>
      </c>
    </row>
    <row r="10">
      <c r="A10" t="inlineStr">
        <is>
          <t>2026-04</t>
        </is>
      </c>
      <c r="B10" t="inlineStr">
        <is>
          <t>Meta Ads</t>
        </is>
      </c>
      <c r="C10" t="inlineStr">
        <is>
          <t>Summer AC promo</t>
        </is>
      </c>
      <c r="D10" t="inlineStr">
        <is>
          <t>USD</t>
        </is>
      </c>
      <c r="E10" t="n">
        <v>1254.38</v>
      </c>
      <c r="F10" t="n">
        <v>1</v>
      </c>
      <c r="G10" t="n">
        <v>1254.38</v>
      </c>
    </row>
    <row r="11">
      <c r="A11" t="inlineStr">
        <is>
          <t>2026-04</t>
        </is>
      </c>
      <c r="B11" t="inlineStr">
        <is>
          <t>Meta Ads</t>
        </is>
      </c>
      <c r="C11" t="inlineStr">
        <is>
          <t>Retargeting</t>
        </is>
      </c>
      <c r="D11" t="inlineStr">
        <is>
          <t>USD</t>
        </is>
      </c>
      <c r="E11" t="n">
        <v>1595.54</v>
      </c>
      <c r="F11" t="n">
        <v>1</v>
      </c>
      <c r="G11" t="n">
        <v>1595.54</v>
      </c>
    </row>
    <row r="12">
      <c r="A12" t="inlineStr">
        <is>
          <t>2026-05</t>
        </is>
      </c>
      <c r="B12" t="inlineStr">
        <is>
          <t>Meta Ads</t>
        </is>
      </c>
      <c r="C12" t="inlineStr">
        <is>
          <t>Retargeting</t>
        </is>
      </c>
      <c r="D12" t="inlineStr">
        <is>
          <t>USD</t>
        </is>
      </c>
      <c r="E12" t="n">
        <v>2059.88</v>
      </c>
      <c r="F12" t="n">
        <v>1</v>
      </c>
      <c r="G12" t="n">
        <v>2059.88</v>
      </c>
    </row>
    <row r="13">
      <c r="A13" t="inlineStr">
        <is>
          <t>2026-05</t>
        </is>
      </c>
      <c r="B13" t="inlineStr">
        <is>
          <t>Meta Ads</t>
        </is>
      </c>
      <c r="C13" t="inlineStr">
        <is>
          <t>Lead form - IG</t>
        </is>
      </c>
      <c r="D13" t="inlineStr">
        <is>
          <t>USD</t>
        </is>
      </c>
      <c r="E13" t="n">
        <v>1655.28</v>
      </c>
      <c r="F13" t="n">
        <v>1</v>
      </c>
      <c r="G13" t="n">
        <v>1655.28</v>
      </c>
    </row>
    <row r="14">
      <c r="A14" t="inlineStr">
        <is>
          <t>2026-05</t>
        </is>
      </c>
      <c r="B14" t="inlineStr">
        <is>
          <t>Meta Ads</t>
        </is>
      </c>
      <c r="C14" t="inlineStr">
        <is>
          <t>Summer AC promo</t>
        </is>
      </c>
      <c r="D14" t="inlineStr">
        <is>
          <t>USD</t>
        </is>
      </c>
      <c r="E14" t="n">
        <v>811.37</v>
      </c>
      <c r="F14" t="n">
        <v>1</v>
      </c>
      <c r="G14" t="n">
        <v>811.37</v>
      </c>
    </row>
    <row r="15">
      <c r="A15" t="inlineStr">
        <is>
          <t>2026-06</t>
        </is>
      </c>
      <c r="B15" t="inlineStr">
        <is>
          <t>Meta Ads</t>
        </is>
      </c>
      <c r="C15" t="inlineStr">
        <is>
          <t>Lead form - IG</t>
        </is>
      </c>
      <c r="D15" t="inlineStr">
        <is>
          <t>USD</t>
        </is>
      </c>
      <c r="E15" t="n">
        <v>1559.83</v>
      </c>
      <c r="F15" t="n">
        <v>1</v>
      </c>
      <c r="G15" t="n">
        <v>1559.83</v>
      </c>
    </row>
    <row r="16">
      <c r="A16" t="inlineStr">
        <is>
          <t>2026-06</t>
        </is>
      </c>
      <c r="B16" t="inlineStr">
        <is>
          <t>Meta Ads</t>
        </is>
      </c>
      <c r="C16" t="inlineStr">
        <is>
          <t>Summer AC promo</t>
        </is>
      </c>
      <c r="D16" t="inlineStr">
        <is>
          <t>USD</t>
        </is>
      </c>
      <c r="E16" t="n">
        <v>978.53</v>
      </c>
      <c r="F16" t="n">
        <v>1</v>
      </c>
      <c r="G16" t="n">
        <v>978.53</v>
      </c>
    </row>
    <row r="17">
      <c r="A17" t="inlineStr">
        <is>
          <t>2026-06</t>
        </is>
      </c>
      <c r="B17" t="inlineStr">
        <is>
          <t>Meta Ads</t>
        </is>
      </c>
      <c r="C17" t="inlineStr">
        <is>
          <t>Retargeting</t>
        </is>
      </c>
      <c r="D17" t="inlineStr">
        <is>
          <t>USD</t>
        </is>
      </c>
      <c r="E17" t="n">
        <v>1444.99</v>
      </c>
      <c r="F17" t="n">
        <v>1</v>
      </c>
      <c r="G17" t="n">
        <v>1444.99</v>
      </c>
    </row>
    <row r="18">
      <c r="A18" t="inlineStr">
        <is>
          <t>2026-04</t>
        </is>
      </c>
      <c r="B18" t="inlineStr">
        <is>
          <t>LinkedIn Ads</t>
        </is>
      </c>
      <c r="C18" t="inlineStr">
        <is>
          <t>Property managers</t>
        </is>
      </c>
      <c r="D18" t="inlineStr">
        <is>
          <t>EUR</t>
        </is>
      </c>
      <c r="E18" t="n">
        <v>761.33</v>
      </c>
      <c r="F18" t="n">
        <v>1.08</v>
      </c>
      <c r="G18" t="n">
        <v>822.24</v>
      </c>
    </row>
    <row r="19">
      <c r="A19" t="inlineStr">
        <is>
          <t>2026-04</t>
        </is>
      </c>
      <c r="B19" t="inlineStr">
        <is>
          <t>LinkedIn Ads</t>
        </is>
      </c>
      <c r="C19" t="inlineStr">
        <is>
          <t>Commercial HVAC</t>
        </is>
      </c>
      <c r="D19" t="inlineStr">
        <is>
          <t>EUR</t>
        </is>
      </c>
      <c r="E19" t="n">
        <v>1512.68</v>
      </c>
      <c r="F19" t="n">
        <v>1.08</v>
      </c>
      <c r="G19" t="n">
        <v>1633.69</v>
      </c>
    </row>
    <row r="20">
      <c r="A20" t="inlineStr">
        <is>
          <t>2026-05</t>
        </is>
      </c>
      <c r="B20" t="inlineStr">
        <is>
          <t>LinkedIn Ads</t>
        </is>
      </c>
      <c r="C20" t="inlineStr">
        <is>
          <t>Property managers</t>
        </is>
      </c>
      <c r="D20" t="inlineStr">
        <is>
          <t>EUR</t>
        </is>
      </c>
      <c r="E20" t="n">
        <v>1240.83</v>
      </c>
      <c r="F20" t="n">
        <v>1.08</v>
      </c>
      <c r="G20" t="n">
        <v>1340.1</v>
      </c>
    </row>
    <row r="21">
      <c r="A21" t="inlineStr">
        <is>
          <t>2026-05</t>
        </is>
      </c>
      <c r="B21" t="inlineStr">
        <is>
          <t>LinkedIn Ads</t>
        </is>
      </c>
      <c r="C21" t="inlineStr">
        <is>
          <t>Commercial HVAC</t>
        </is>
      </c>
      <c r="D21" t="inlineStr">
        <is>
          <t>EUR</t>
        </is>
      </c>
      <c r="E21" t="n">
        <v>1142.67</v>
      </c>
      <c r="F21" t="n">
        <v>1.08</v>
      </c>
      <c r="G21" t="n">
        <v>1234.08</v>
      </c>
    </row>
    <row r="22">
      <c r="A22" t="inlineStr">
        <is>
          <t>2026-06</t>
        </is>
      </c>
      <c r="B22" t="inlineStr">
        <is>
          <t>LinkedIn Ads</t>
        </is>
      </c>
      <c r="C22" t="inlineStr">
        <is>
          <t>Property managers</t>
        </is>
      </c>
      <c r="D22" t="inlineStr">
        <is>
          <t>EUR</t>
        </is>
      </c>
      <c r="E22" t="n">
        <v>1209.55</v>
      </c>
      <c r="F22" t="n">
        <v>1.08</v>
      </c>
      <c r="G22" t="n">
        <v>1306.31</v>
      </c>
    </row>
    <row r="23">
      <c r="A23" t="inlineStr">
        <is>
          <t>2026-06</t>
        </is>
      </c>
      <c r="B23" t="inlineStr">
        <is>
          <t>LinkedIn Ads</t>
        </is>
      </c>
      <c r="C23" t="inlineStr">
        <is>
          <t>Commercial HVAC</t>
        </is>
      </c>
      <c r="D23" t="inlineStr">
        <is>
          <t>EUR</t>
        </is>
      </c>
      <c r="E23" t="n">
        <v>1388.22</v>
      </c>
      <c r="F23" t="n">
        <v>1.08</v>
      </c>
      <c r="G23" t="n">
        <v>1499.28</v>
      </c>
    </row>
    <row r="24">
      <c r="A24" t="inlineStr">
        <is>
          <t>2026-04</t>
        </is>
      </c>
      <c r="B24" t="inlineStr">
        <is>
          <t>Yelp Ads</t>
        </is>
      </c>
      <c r="C24" t="inlineStr">
        <is>
          <t>Yelp CPC</t>
        </is>
      </c>
      <c r="D24" t="inlineStr">
        <is>
          <t>USD</t>
        </is>
      </c>
      <c r="E24" t="n">
        <v>384.64</v>
      </c>
      <c r="F24" t="n">
        <v>1</v>
      </c>
      <c r="G24" t="n">
        <v>384.64</v>
      </c>
    </row>
    <row r="25">
      <c r="A25" t="inlineStr">
        <is>
          <t>2026-04</t>
        </is>
      </c>
      <c r="B25" t="inlineStr">
        <is>
          <t>Yelp Ads</t>
        </is>
      </c>
      <c r="C25" t="inlineStr">
        <is>
          <t>Yelp enhanced profile</t>
        </is>
      </c>
      <c r="D25" t="inlineStr">
        <is>
          <t>USD</t>
        </is>
      </c>
      <c r="E25" t="n">
        <v>843.8200000000001</v>
      </c>
      <c r="F25" t="n">
        <v>1</v>
      </c>
      <c r="G25" t="n">
        <v>843.8200000000001</v>
      </c>
    </row>
    <row r="26">
      <c r="A26" t="inlineStr">
        <is>
          <t>2026-05</t>
        </is>
      </c>
      <c r="B26" t="inlineStr">
        <is>
          <t>Yelp Ads</t>
        </is>
      </c>
      <c r="C26" t="inlineStr">
        <is>
          <t>Yelp CPC</t>
        </is>
      </c>
      <c r="D26" t="inlineStr">
        <is>
          <t>USD</t>
        </is>
      </c>
      <c r="E26" t="n">
        <v>546.17</v>
      </c>
      <c r="F26" t="n">
        <v>1</v>
      </c>
      <c r="G26" t="n">
        <v>546.17</v>
      </c>
    </row>
    <row r="27">
      <c r="A27" t="inlineStr">
        <is>
          <t>2026-05</t>
        </is>
      </c>
      <c r="B27" t="inlineStr">
        <is>
          <t>Yelp Ads</t>
        </is>
      </c>
      <c r="C27" t="inlineStr">
        <is>
          <t>Yelp enhanced profile</t>
        </is>
      </c>
      <c r="D27" t="inlineStr">
        <is>
          <t>USD</t>
        </is>
      </c>
      <c r="E27" t="n">
        <v>544.0599999999999</v>
      </c>
      <c r="F27" t="n">
        <v>1</v>
      </c>
      <c r="G27" t="n">
        <v>544.0599999999999</v>
      </c>
    </row>
    <row r="28">
      <c r="A28" t="inlineStr">
        <is>
          <t>2026-06</t>
        </is>
      </c>
      <c r="B28" t="inlineStr">
        <is>
          <t>Yelp Ads</t>
        </is>
      </c>
      <c r="C28" t="inlineStr">
        <is>
          <t>Yelp CPC</t>
        </is>
      </c>
      <c r="D28" t="inlineStr">
        <is>
          <t>USD</t>
        </is>
      </c>
      <c r="E28" t="n">
        <v>404.72</v>
      </c>
      <c r="F28" t="n">
        <v>1</v>
      </c>
      <c r="G28" t="n">
        <v>404.72</v>
      </c>
    </row>
    <row r="29">
      <c r="A29" t="inlineStr">
        <is>
          <t>2026-06</t>
        </is>
      </c>
      <c r="B29" t="inlineStr">
        <is>
          <t>Yelp Ads</t>
        </is>
      </c>
      <c r="C29" t="inlineStr">
        <is>
          <t>Yelp enhanced profile</t>
        </is>
      </c>
      <c r="D29" t="inlineStr">
        <is>
          <t>USD</t>
        </is>
      </c>
      <c r="E29" t="n">
        <v>862.9400000000001</v>
      </c>
      <c r="F29" t="n">
        <v>1</v>
      </c>
      <c r="G29" t="n">
        <v>862.9400000000001</v>
      </c>
    </row>
    <row r="30">
      <c r="A30" t="inlineStr">
        <is>
          <t>2026-04</t>
        </is>
      </c>
      <c r="B30" t="inlineStr">
        <is>
          <t>Nextdoor</t>
        </is>
      </c>
      <c r="C30" t="inlineStr">
        <is>
          <t>Neighborhood sponsorship</t>
        </is>
      </c>
      <c r="D30" t="inlineStr">
        <is>
          <t>USD</t>
        </is>
      </c>
      <c r="E30" t="n">
        <v>838.39</v>
      </c>
      <c r="F30" t="n">
        <v>1</v>
      </c>
      <c r="G30" t="n">
        <v>838.39</v>
      </c>
    </row>
    <row r="31">
      <c r="A31" t="inlineStr">
        <is>
          <t>2026-05</t>
        </is>
      </c>
      <c r="B31" t="inlineStr">
        <is>
          <t>Nextdoor</t>
        </is>
      </c>
      <c r="C31" t="inlineStr">
        <is>
          <t>Neighborhood sponsorship</t>
        </is>
      </c>
      <c r="D31" t="inlineStr">
        <is>
          <t>USD</t>
        </is>
      </c>
      <c r="E31" t="n">
        <v>821.23</v>
      </c>
      <c r="F31" t="n">
        <v>1</v>
      </c>
      <c r="G31" t="n">
        <v>821.23</v>
      </c>
    </row>
    <row r="32">
      <c r="A32" t="inlineStr">
        <is>
          <t>2026-06</t>
        </is>
      </c>
      <c r="B32" t="inlineStr">
        <is>
          <t>Nextdoor</t>
        </is>
      </c>
      <c r="C32" t="inlineStr">
        <is>
          <t>Neighborhood sponsorship</t>
        </is>
      </c>
      <c r="D32" t="inlineStr">
        <is>
          <t>USD</t>
        </is>
      </c>
      <c r="E32" t="n">
        <v>861.54</v>
      </c>
      <c r="F32" t="n">
        <v>1</v>
      </c>
      <c r="G32" t="n">
        <v>861.54</v>
      </c>
    </row>
    <row r="33">
      <c r="A33" t="inlineStr">
        <is>
          <t>2026-05</t>
        </is>
      </c>
      <c r="B33" t="inlineStr">
        <is>
          <t>Direct Mail</t>
        </is>
      </c>
      <c r="C33" t="inlineStr">
        <is>
          <t>Spring mailer - 8,000 pcs</t>
        </is>
      </c>
      <c r="D33" t="inlineStr">
        <is>
          <t>USD</t>
        </is>
      </c>
      <c r="E33" t="n">
        <v>4347.81</v>
      </c>
      <c r="F33" t="n">
        <v>1</v>
      </c>
      <c r="G33" t="n">
        <v>4347.81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created</t>
        </is>
      </c>
      <c r="C1" s="1" t="inlineStr">
        <is>
          <t>month</t>
        </is>
      </c>
      <c r="D1" s="1" t="inlineStr">
        <is>
          <t>channel</t>
        </is>
      </c>
      <c r="E1" s="1" t="inlineStr">
        <is>
          <t>status</t>
        </is>
      </c>
    </row>
    <row r="2">
      <c r="A2" t="inlineStr">
        <is>
          <t>L-40225</t>
        </is>
      </c>
      <c r="B2" s="2" t="n">
        <v>46113</v>
      </c>
      <c r="C2" t="inlineStr">
        <is>
          <t>2026-04</t>
        </is>
      </c>
      <c r="D2" t="inlineStr">
        <is>
          <t>Google Ads</t>
        </is>
      </c>
      <c r="E2" t="inlineStr">
        <is>
          <t>New</t>
        </is>
      </c>
    </row>
    <row r="3">
      <c r="A3" t="inlineStr">
        <is>
          <t>L-40354</t>
        </is>
      </c>
      <c r="B3" s="2" t="n">
        <v>46113</v>
      </c>
      <c r="C3" t="inlineStr">
        <is>
          <t>2026-04</t>
        </is>
      </c>
      <c r="D3" t="inlineStr">
        <is>
          <t>Meta Ads</t>
        </is>
      </c>
      <c r="E3" t="inlineStr">
        <is>
          <t>Contacted</t>
        </is>
      </c>
    </row>
    <row r="4">
      <c r="A4" t="inlineStr">
        <is>
          <t>L-40438</t>
        </is>
      </c>
      <c r="B4" s="2" t="n">
        <v>46114</v>
      </c>
      <c r="C4" t="inlineStr">
        <is>
          <t>2026-04</t>
        </is>
      </c>
      <c r="D4" t="inlineStr">
        <is>
          <t>Yelp Ads</t>
        </is>
      </c>
      <c r="E4" t="inlineStr">
        <is>
          <t>Lost</t>
        </is>
      </c>
    </row>
    <row r="5">
      <c r="A5" t="inlineStr">
        <is>
          <t>L-40246</t>
        </is>
      </c>
      <c r="B5" s="2" t="n">
        <v>46114</v>
      </c>
      <c r="C5" t="inlineStr">
        <is>
          <t>2026-04</t>
        </is>
      </c>
      <c r="D5" t="inlineStr">
        <is>
          <t>Google Ads</t>
        </is>
      </c>
      <c r="E5" t="inlineStr">
        <is>
          <t>Lost</t>
        </is>
      </c>
    </row>
    <row r="6">
      <c r="A6" t="inlineStr">
        <is>
          <t>L-40228</t>
        </is>
      </c>
      <c r="B6" s="2" t="n">
        <v>46114</v>
      </c>
      <c r="C6" t="inlineStr">
        <is>
          <t>2026-04</t>
        </is>
      </c>
      <c r="D6" t="inlineStr">
        <is>
          <t>Google Ads</t>
        </is>
      </c>
      <c r="E6" t="inlineStr">
        <is>
          <t>Lost</t>
        </is>
      </c>
    </row>
    <row r="7">
      <c r="A7" t="inlineStr">
        <is>
          <t>L-40235</t>
        </is>
      </c>
      <c r="B7" s="2" t="n">
        <v>46114</v>
      </c>
      <c r="C7" t="inlineStr">
        <is>
          <t>2026-04</t>
        </is>
      </c>
      <c r="D7" t="inlineStr">
        <is>
          <t>Google Ads</t>
        </is>
      </c>
      <c r="E7" t="inlineStr">
        <is>
          <t>Lost</t>
        </is>
      </c>
    </row>
    <row r="8">
      <c r="A8" t="inlineStr">
        <is>
          <t>L-40214</t>
        </is>
      </c>
      <c r="B8" s="2" t="n">
        <v>46114</v>
      </c>
      <c r="C8" t="inlineStr">
        <is>
          <t>2026-04</t>
        </is>
      </c>
      <c r="D8" t="inlineStr">
        <is>
          <t>Google Ads</t>
        </is>
      </c>
      <c r="E8" t="inlineStr">
        <is>
          <t>Won</t>
        </is>
      </c>
    </row>
    <row r="9">
      <c r="A9" t="inlineStr">
        <is>
          <t>L-40251</t>
        </is>
      </c>
      <c r="B9" s="2" t="n">
        <v>46114</v>
      </c>
      <c r="C9" t="inlineStr">
        <is>
          <t>2026-04</t>
        </is>
      </c>
      <c r="D9" t="inlineStr">
        <is>
          <t>Google Ads</t>
        </is>
      </c>
      <c r="E9" t="inlineStr">
        <is>
          <t>Lost</t>
        </is>
      </c>
    </row>
    <row r="10">
      <c r="A10" t="inlineStr">
        <is>
          <t>L-40343</t>
        </is>
      </c>
      <c r="B10" s="2" t="n">
        <v>46115</v>
      </c>
      <c r="C10" t="inlineStr">
        <is>
          <t>2026-04</t>
        </is>
      </c>
      <c r="D10" t="inlineStr">
        <is>
          <t>Meta Ads</t>
        </is>
      </c>
      <c r="E10" t="inlineStr">
        <is>
          <t>Quoted</t>
        </is>
      </c>
    </row>
    <row r="11">
      <c r="A11" t="inlineStr">
        <is>
          <t>L-40255</t>
        </is>
      </c>
      <c r="B11" s="2" t="n">
        <v>46115</v>
      </c>
      <c r="C11" t="inlineStr">
        <is>
          <t>2026-04</t>
        </is>
      </c>
      <c r="D11" t="inlineStr">
        <is>
          <t>Google Ads</t>
        </is>
      </c>
      <c r="E11" t="inlineStr">
        <is>
          <t>Lost</t>
        </is>
      </c>
    </row>
    <row r="12">
      <c r="A12" t="inlineStr">
        <is>
          <t>L-40223</t>
        </is>
      </c>
      <c r="B12" s="2" t="n">
        <v>46115</v>
      </c>
      <c r="C12" t="inlineStr">
        <is>
          <t>2026-04</t>
        </is>
      </c>
      <c r="D12" t="inlineStr">
        <is>
          <t>Google Ads</t>
        </is>
      </c>
      <c r="E12" t="inlineStr">
        <is>
          <t>Quoted</t>
        </is>
      </c>
    </row>
    <row r="13">
      <c r="A13" t="inlineStr">
        <is>
          <t>L-40236</t>
        </is>
      </c>
      <c r="B13" s="2" t="n">
        <v>46115</v>
      </c>
      <c r="C13" t="inlineStr">
        <is>
          <t>2026-04</t>
        </is>
      </c>
      <c r="D13" t="inlineStr">
        <is>
          <t>Google Ads</t>
        </is>
      </c>
      <c r="E13" t="inlineStr">
        <is>
          <t>Contacted</t>
        </is>
      </c>
    </row>
    <row r="14">
      <c r="A14" t="inlineStr">
        <is>
          <t>L-40410</t>
        </is>
      </c>
      <c r="B14" s="2" t="n">
        <v>46116</v>
      </c>
      <c r="C14" t="inlineStr">
        <is>
          <t>2026-04</t>
        </is>
      </c>
      <c r="D14" t="inlineStr">
        <is>
          <t>LinkedIn Ads</t>
        </is>
      </c>
      <c r="E14" t="inlineStr">
        <is>
          <t>Quoted</t>
        </is>
      </c>
    </row>
    <row r="15">
      <c r="A15" t="inlineStr">
        <is>
          <t>L-40253</t>
        </is>
      </c>
      <c r="B15" s="2" t="n">
        <v>46116</v>
      </c>
      <c r="C15" t="inlineStr">
        <is>
          <t>2026-04</t>
        </is>
      </c>
      <c r="D15" t="inlineStr">
        <is>
          <t>Google Ads</t>
        </is>
      </c>
      <c r="E15" t="inlineStr">
        <is>
          <t>Contacted</t>
        </is>
      </c>
    </row>
    <row r="16">
      <c r="A16" t="inlineStr">
        <is>
          <t>L-40226</t>
        </is>
      </c>
      <c r="B16" s="2" t="n">
        <v>46116</v>
      </c>
      <c r="C16" t="inlineStr">
        <is>
          <t>2026-04</t>
        </is>
      </c>
      <c r="D16" t="inlineStr">
        <is>
          <t>Google Ads</t>
        </is>
      </c>
      <c r="E16" t="inlineStr">
        <is>
          <t>Quoted</t>
        </is>
      </c>
    </row>
    <row r="17">
      <c r="A17" t="inlineStr">
        <is>
          <t>L-40249</t>
        </is>
      </c>
      <c r="B17" s="2" t="n">
        <v>46116</v>
      </c>
      <c r="C17" t="inlineStr">
        <is>
          <t>2026-04</t>
        </is>
      </c>
      <c r="D17" t="inlineStr">
        <is>
          <t>Google Ads</t>
        </is>
      </c>
      <c r="E17" t="inlineStr">
        <is>
          <t>Quoted</t>
        </is>
      </c>
    </row>
    <row r="18">
      <c r="A18" t="inlineStr">
        <is>
          <t>L-40247</t>
        </is>
      </c>
      <c r="B18" s="2" t="n">
        <v>46117</v>
      </c>
      <c r="C18" t="inlineStr">
        <is>
          <t>2026-04</t>
        </is>
      </c>
      <c r="D18" t="inlineStr">
        <is>
          <t>Google Ads</t>
        </is>
      </c>
      <c r="E18" t="inlineStr">
        <is>
          <t>Quoted</t>
        </is>
      </c>
    </row>
    <row r="19">
      <c r="A19" t="inlineStr">
        <is>
          <t>L-40258</t>
        </is>
      </c>
      <c r="B19" s="2" t="n">
        <v>46117</v>
      </c>
      <c r="C19" t="inlineStr">
        <is>
          <t>2026-04</t>
        </is>
      </c>
      <c r="D19" t="inlineStr">
        <is>
          <t>Google Ads</t>
        </is>
      </c>
      <c r="E19" t="inlineStr">
        <is>
          <t>Lost</t>
        </is>
      </c>
    </row>
    <row r="20">
      <c r="A20" t="inlineStr">
        <is>
          <t>L-40412</t>
        </is>
      </c>
      <c r="B20" s="2" t="n">
        <v>46118</v>
      </c>
      <c r="C20" t="inlineStr">
        <is>
          <t>2026-04</t>
        </is>
      </c>
      <c r="D20" t="inlineStr">
        <is>
          <t>LinkedIn Ads</t>
        </is>
      </c>
      <c r="E20" t="inlineStr">
        <is>
          <t>Quoted</t>
        </is>
      </c>
    </row>
    <row r="21">
      <c r="A21" t="inlineStr">
        <is>
          <t>L-40338</t>
        </is>
      </c>
      <c r="B21" s="2" t="n">
        <v>46118</v>
      </c>
      <c r="C21" t="inlineStr">
        <is>
          <t>2026-04</t>
        </is>
      </c>
      <c r="D21" t="inlineStr">
        <is>
          <t>Meta Ads</t>
        </is>
      </c>
      <c r="E21" t="inlineStr">
        <is>
          <t>New</t>
        </is>
      </c>
    </row>
    <row r="22">
      <c r="A22" t="inlineStr">
        <is>
          <t>L-40232</t>
        </is>
      </c>
      <c r="B22" s="2" t="n">
        <v>46118</v>
      </c>
      <c r="C22" t="inlineStr">
        <is>
          <t>2026-04</t>
        </is>
      </c>
      <c r="D22" t="inlineStr">
        <is>
          <t>Google Ads</t>
        </is>
      </c>
      <c r="E22" t="inlineStr">
        <is>
          <t>Contacted</t>
        </is>
      </c>
    </row>
    <row r="23">
      <c r="A23" t="inlineStr">
        <is>
          <t>L-40411</t>
        </is>
      </c>
      <c r="B23" s="2" t="n">
        <v>46119</v>
      </c>
      <c r="C23" t="inlineStr">
        <is>
          <t>2026-04</t>
        </is>
      </c>
      <c r="D23" t="inlineStr">
        <is>
          <t>LinkedIn Ads</t>
        </is>
      </c>
      <c r="E23" t="inlineStr">
        <is>
          <t>Quoted</t>
        </is>
      </c>
    </row>
    <row r="24">
      <c r="A24" t="inlineStr">
        <is>
          <t>L-40242</t>
        </is>
      </c>
      <c r="B24" s="2" t="n">
        <v>46120</v>
      </c>
      <c r="C24" t="inlineStr">
        <is>
          <t>2026-04</t>
        </is>
      </c>
      <c r="D24" t="inlineStr">
        <is>
          <t>Google Ads</t>
        </is>
      </c>
      <c r="E24" t="inlineStr">
        <is>
          <t>Quoted</t>
        </is>
      </c>
    </row>
    <row r="25">
      <c r="A25" t="inlineStr">
        <is>
          <t>L-40341</t>
        </is>
      </c>
      <c r="B25" s="2" t="n">
        <v>46120</v>
      </c>
      <c r="C25" t="inlineStr">
        <is>
          <t>2026-04</t>
        </is>
      </c>
      <c r="D25" t="inlineStr">
        <is>
          <t>Meta Ads</t>
        </is>
      </c>
      <c r="E25" t="inlineStr">
        <is>
          <t>Contacted</t>
        </is>
      </c>
    </row>
    <row r="26">
      <c r="A26" t="inlineStr">
        <is>
          <t>L-40220</t>
        </is>
      </c>
      <c r="B26" s="2" t="n">
        <v>46120</v>
      </c>
      <c r="C26" t="inlineStr">
        <is>
          <t>2026-04</t>
        </is>
      </c>
      <c r="D26" t="inlineStr">
        <is>
          <t>Google Ads</t>
        </is>
      </c>
      <c r="E26" t="inlineStr">
        <is>
          <t>Quoted</t>
        </is>
      </c>
    </row>
    <row r="27">
      <c r="A27" t="inlineStr">
        <is>
          <t>L-40472</t>
        </is>
      </c>
      <c r="B27" s="2" t="n">
        <v>46121</v>
      </c>
      <c r="C27" t="inlineStr">
        <is>
          <t>2026-04</t>
        </is>
      </c>
      <c r="D27" t="inlineStr">
        <is>
          <t>Nextdoor</t>
        </is>
      </c>
      <c r="E27" t="inlineStr">
        <is>
          <t>Contacted</t>
        </is>
      </c>
    </row>
    <row r="28">
      <c r="A28" t="inlineStr">
        <is>
          <t>L-40210</t>
        </is>
      </c>
      <c r="B28" s="2" t="n">
        <v>46121</v>
      </c>
      <c r="C28" t="inlineStr">
        <is>
          <t>2026-04</t>
        </is>
      </c>
      <c r="D28" t="inlineStr">
        <is>
          <t>Google Ads</t>
        </is>
      </c>
      <c r="E28" t="inlineStr">
        <is>
          <t>Lost</t>
        </is>
      </c>
    </row>
    <row r="29">
      <c r="A29" t="inlineStr">
        <is>
          <t>L-40230</t>
        </is>
      </c>
      <c r="B29" s="2" t="n">
        <v>46123</v>
      </c>
      <c r="C29" t="inlineStr">
        <is>
          <t>2026-04</t>
        </is>
      </c>
      <c r="D29" t="inlineStr">
        <is>
          <t>Google Ads</t>
        </is>
      </c>
      <c r="E29" t="inlineStr">
        <is>
          <t>New</t>
        </is>
      </c>
    </row>
    <row r="30">
      <c r="A30" t="inlineStr">
        <is>
          <t>L-40440</t>
        </is>
      </c>
      <c r="B30" s="2" t="n">
        <v>46123</v>
      </c>
      <c r="C30" t="inlineStr">
        <is>
          <t>2026-04</t>
        </is>
      </c>
      <c r="D30" t="inlineStr">
        <is>
          <t>Yelp Ads</t>
        </is>
      </c>
      <c r="E30" t="inlineStr">
        <is>
          <t>Lost</t>
        </is>
      </c>
    </row>
    <row r="31">
      <c r="A31" t="inlineStr">
        <is>
          <t>L-40233</t>
        </is>
      </c>
      <c r="B31" s="2" t="n">
        <v>46123</v>
      </c>
      <c r="C31" t="inlineStr">
        <is>
          <t>2026-04</t>
        </is>
      </c>
      <c r="D31" t="inlineStr">
        <is>
          <t>Google Ads</t>
        </is>
      </c>
      <c r="E31" t="inlineStr">
        <is>
          <t>Contacted</t>
        </is>
      </c>
    </row>
    <row r="32">
      <c r="A32" t="inlineStr">
        <is>
          <t>L-40336</t>
        </is>
      </c>
      <c r="B32" s="2" t="n">
        <v>46123</v>
      </c>
      <c r="C32" t="inlineStr">
        <is>
          <t>2026-04</t>
        </is>
      </c>
      <c r="D32" t="inlineStr">
        <is>
          <t>Meta Ads</t>
        </is>
      </c>
      <c r="E32" t="inlineStr">
        <is>
          <t>Quoted</t>
        </is>
      </c>
    </row>
    <row r="33">
      <c r="A33" t="inlineStr">
        <is>
          <t>L-40344</t>
        </is>
      </c>
      <c r="B33" s="2" t="n">
        <v>46123</v>
      </c>
      <c r="C33" t="inlineStr">
        <is>
          <t>2026-04</t>
        </is>
      </c>
      <c r="D33" t="inlineStr">
        <is>
          <t>Meta Ads</t>
        </is>
      </c>
      <c r="E33" t="inlineStr">
        <is>
          <t>New</t>
        </is>
      </c>
    </row>
    <row r="34">
      <c r="A34" t="inlineStr">
        <is>
          <t>L-40211</t>
        </is>
      </c>
      <c r="B34" s="2" t="n">
        <v>46123</v>
      </c>
      <c r="C34" t="inlineStr">
        <is>
          <t>2026-04</t>
        </is>
      </c>
      <c r="D34" t="inlineStr">
        <is>
          <t>Google Ads</t>
        </is>
      </c>
      <c r="E34" t="inlineStr">
        <is>
          <t>Won</t>
        </is>
      </c>
    </row>
    <row r="35">
      <c r="A35" t="inlineStr">
        <is>
          <t>L-40243</t>
        </is>
      </c>
      <c r="B35" s="2" t="n">
        <v>46124</v>
      </c>
      <c r="C35" t="inlineStr">
        <is>
          <t>2026-04</t>
        </is>
      </c>
      <c r="D35" t="inlineStr">
        <is>
          <t>Google Ads</t>
        </is>
      </c>
      <c r="E35" t="inlineStr">
        <is>
          <t>Contacted</t>
        </is>
      </c>
    </row>
    <row r="36">
      <c r="A36" t="inlineStr">
        <is>
          <t>L-40351</t>
        </is>
      </c>
      <c r="B36" s="2" t="n">
        <v>46124</v>
      </c>
      <c r="C36" t="inlineStr">
        <is>
          <t>2026-04</t>
        </is>
      </c>
      <c r="D36" t="inlineStr">
        <is>
          <t>Meta Ads</t>
        </is>
      </c>
      <c r="E36" t="inlineStr">
        <is>
          <t>Contacted</t>
        </is>
      </c>
    </row>
    <row r="37">
      <c r="A37" t="inlineStr">
        <is>
          <t>L-40257</t>
        </is>
      </c>
      <c r="B37" s="2" t="n">
        <v>46124</v>
      </c>
      <c r="C37" t="inlineStr">
        <is>
          <t>2026-04</t>
        </is>
      </c>
      <c r="D37" t="inlineStr">
        <is>
          <t>Google Ads</t>
        </is>
      </c>
      <c r="E37" t="inlineStr">
        <is>
          <t>Quoted</t>
        </is>
      </c>
    </row>
    <row r="38">
      <c r="A38" t="inlineStr">
        <is>
          <t>L-40339</t>
        </is>
      </c>
      <c r="B38" s="2" t="n">
        <v>46125</v>
      </c>
      <c r="C38" t="inlineStr">
        <is>
          <t>2026-04</t>
        </is>
      </c>
      <c r="D38" t="inlineStr">
        <is>
          <t>Meta Ads</t>
        </is>
      </c>
      <c r="E38" t="inlineStr">
        <is>
          <t>New</t>
        </is>
      </c>
    </row>
    <row r="39">
      <c r="A39" t="inlineStr">
        <is>
          <t>L-40439</t>
        </is>
      </c>
      <c r="B39" s="2" t="n">
        <v>46125</v>
      </c>
      <c r="C39" t="inlineStr">
        <is>
          <t>2026-04</t>
        </is>
      </c>
      <c r="D39" t="inlineStr">
        <is>
          <t>Yelp Ads</t>
        </is>
      </c>
      <c r="E39" t="inlineStr">
        <is>
          <t>Won</t>
        </is>
      </c>
    </row>
    <row r="40">
      <c r="A40" t="inlineStr">
        <is>
          <t>L-40248</t>
        </is>
      </c>
      <c r="B40" s="2" t="n">
        <v>46125</v>
      </c>
      <c r="C40" t="inlineStr">
        <is>
          <t>2026-04</t>
        </is>
      </c>
      <c r="D40" t="inlineStr">
        <is>
          <t>Google Ads</t>
        </is>
      </c>
      <c r="E40" t="inlineStr">
        <is>
          <t>New</t>
        </is>
      </c>
    </row>
    <row r="41">
      <c r="A41" t="inlineStr">
        <is>
          <t>L-40219</t>
        </is>
      </c>
      <c r="B41" s="2" t="n">
        <v>46125</v>
      </c>
      <c r="C41" t="inlineStr">
        <is>
          <t>2026-04</t>
        </is>
      </c>
      <c r="D41" t="inlineStr">
        <is>
          <t>Google Ads</t>
        </is>
      </c>
      <c r="E41" t="inlineStr">
        <is>
          <t>Contacted</t>
        </is>
      </c>
    </row>
    <row r="42">
      <c r="A42" t="inlineStr">
        <is>
          <t>L-40414</t>
        </is>
      </c>
      <c r="B42" s="2" t="n">
        <v>46125</v>
      </c>
      <c r="C42" t="inlineStr">
        <is>
          <t>2026-04</t>
        </is>
      </c>
      <c r="D42" t="inlineStr">
        <is>
          <t>LinkedIn Ads</t>
        </is>
      </c>
      <c r="E42" t="inlineStr">
        <is>
          <t>New</t>
        </is>
      </c>
    </row>
    <row r="43">
      <c r="A43" t="inlineStr">
        <is>
          <t>L-40342</t>
        </is>
      </c>
      <c r="B43" s="2" t="n">
        <v>46126</v>
      </c>
      <c r="C43" t="inlineStr">
        <is>
          <t>2026-04</t>
        </is>
      </c>
      <c r="D43" t="inlineStr">
        <is>
          <t>Meta Ads</t>
        </is>
      </c>
      <c r="E43" t="inlineStr">
        <is>
          <t>Contacted</t>
        </is>
      </c>
    </row>
    <row r="44">
      <c r="A44" t="inlineStr">
        <is>
          <t>L-40445</t>
        </is>
      </c>
      <c r="B44" s="2" t="n">
        <v>46126</v>
      </c>
      <c r="C44" t="inlineStr">
        <is>
          <t>2026-04</t>
        </is>
      </c>
      <c r="D44" t="inlineStr">
        <is>
          <t>Yelp Ads</t>
        </is>
      </c>
      <c r="E44" t="inlineStr">
        <is>
          <t>Contacted</t>
        </is>
      </c>
    </row>
    <row r="45">
      <c r="A45" t="inlineStr">
        <is>
          <t>L-40346</t>
        </is>
      </c>
      <c r="B45" s="2" t="n">
        <v>46126</v>
      </c>
      <c r="C45" t="inlineStr">
        <is>
          <t>2026-04</t>
        </is>
      </c>
      <c r="D45" t="inlineStr">
        <is>
          <t>Meta Ads</t>
        </is>
      </c>
      <c r="E45" t="inlineStr">
        <is>
          <t>Lost</t>
        </is>
      </c>
    </row>
    <row r="46">
      <c r="A46" t="inlineStr">
        <is>
          <t>L-40415</t>
        </is>
      </c>
      <c r="B46" s="2" t="n">
        <v>46127</v>
      </c>
      <c r="C46" t="inlineStr">
        <is>
          <t>2026-04</t>
        </is>
      </c>
      <c r="D46" t="inlineStr">
        <is>
          <t>LinkedIn Ads</t>
        </is>
      </c>
      <c r="E46" t="inlineStr">
        <is>
          <t>Contacted</t>
        </is>
      </c>
    </row>
    <row r="47">
      <c r="A47" t="inlineStr">
        <is>
          <t>L-40224</t>
        </is>
      </c>
      <c r="B47" s="2" t="n">
        <v>46128</v>
      </c>
      <c r="C47" t="inlineStr">
        <is>
          <t>2026-04</t>
        </is>
      </c>
      <c r="D47" t="inlineStr">
        <is>
          <t>Google Ads</t>
        </is>
      </c>
      <c r="E47" t="inlineStr">
        <is>
          <t>Contacted</t>
        </is>
      </c>
    </row>
    <row r="48">
      <c r="A48" t="inlineStr">
        <is>
          <t>L-40240</t>
        </is>
      </c>
      <c r="B48" s="2" t="n">
        <v>46128</v>
      </c>
      <c r="C48" t="inlineStr">
        <is>
          <t>2026-04</t>
        </is>
      </c>
      <c r="D48" t="inlineStr">
        <is>
          <t>Google Ads</t>
        </is>
      </c>
      <c r="E48" t="inlineStr">
        <is>
          <t>Lost</t>
        </is>
      </c>
    </row>
    <row r="49">
      <c r="A49" t="inlineStr">
        <is>
          <t>L-40337</t>
        </is>
      </c>
      <c r="B49" s="2" t="n">
        <v>46128</v>
      </c>
      <c r="C49" t="inlineStr">
        <is>
          <t>2026-04</t>
        </is>
      </c>
      <c r="D49" t="inlineStr">
        <is>
          <t>Meta Ads</t>
        </is>
      </c>
      <c r="E49" t="inlineStr">
        <is>
          <t>Lost</t>
        </is>
      </c>
    </row>
    <row r="50">
      <c r="A50" t="inlineStr">
        <is>
          <t>L-40252</t>
        </is>
      </c>
      <c r="B50" s="2" t="n">
        <v>46128</v>
      </c>
      <c r="C50" t="inlineStr">
        <is>
          <t>2026-04</t>
        </is>
      </c>
      <c r="D50" t="inlineStr">
        <is>
          <t>Google Ads</t>
        </is>
      </c>
      <c r="E50" t="inlineStr">
        <is>
          <t>Won</t>
        </is>
      </c>
    </row>
    <row r="51">
      <c r="A51" t="inlineStr">
        <is>
          <t>L-40216</t>
        </is>
      </c>
      <c r="B51" s="2" t="n">
        <v>46129</v>
      </c>
      <c r="C51" t="inlineStr">
        <is>
          <t>2026-04</t>
        </is>
      </c>
      <c r="D51" t="inlineStr">
        <is>
          <t>Google Ads</t>
        </is>
      </c>
      <c r="E51" t="inlineStr">
        <is>
          <t>Won</t>
        </is>
      </c>
    </row>
    <row r="52">
      <c r="A52" t="inlineStr">
        <is>
          <t>L-40441</t>
        </is>
      </c>
      <c r="B52" s="2" t="n">
        <v>46129</v>
      </c>
      <c r="C52" t="inlineStr">
        <is>
          <t>2026-04</t>
        </is>
      </c>
      <c r="D52" t="inlineStr">
        <is>
          <t>Yelp Ads</t>
        </is>
      </c>
      <c r="E52" t="inlineStr">
        <is>
          <t>Quoted</t>
        </is>
      </c>
    </row>
    <row r="53">
      <c r="A53" t="inlineStr">
        <is>
          <t>L-40245</t>
        </is>
      </c>
      <c r="B53" s="2" t="n">
        <v>46129</v>
      </c>
      <c r="C53" t="inlineStr">
        <is>
          <t>2026-04</t>
        </is>
      </c>
      <c r="D53" t="inlineStr">
        <is>
          <t>Google Ads</t>
        </is>
      </c>
      <c r="E53" t="inlineStr">
        <is>
          <t>Lost</t>
        </is>
      </c>
    </row>
    <row r="54">
      <c r="A54" t="inlineStr">
        <is>
          <t>L-40348</t>
        </is>
      </c>
      <c r="B54" s="2" t="n">
        <v>46130</v>
      </c>
      <c r="C54" t="inlineStr">
        <is>
          <t>2026-04</t>
        </is>
      </c>
      <c r="D54" t="inlineStr">
        <is>
          <t>Meta Ads</t>
        </is>
      </c>
      <c r="E54" t="inlineStr">
        <is>
          <t>Won</t>
        </is>
      </c>
    </row>
    <row r="55">
      <c r="A55" t="inlineStr">
        <is>
          <t>L-40244</t>
        </is>
      </c>
      <c r="B55" s="2" t="n">
        <v>46130</v>
      </c>
      <c r="C55" t="inlineStr">
        <is>
          <t>2026-04</t>
        </is>
      </c>
      <c r="D55" t="inlineStr">
        <is>
          <t>Google Ads</t>
        </is>
      </c>
      <c r="E55" t="inlineStr">
        <is>
          <t>Won</t>
        </is>
      </c>
    </row>
    <row r="56">
      <c r="A56" t="inlineStr">
        <is>
          <t>L-40231</t>
        </is>
      </c>
      <c r="B56" s="2" t="n">
        <v>46131</v>
      </c>
      <c r="C56" t="inlineStr">
        <is>
          <t>2026-04</t>
        </is>
      </c>
      <c r="D56" t="inlineStr">
        <is>
          <t>Google Ads</t>
        </is>
      </c>
      <c r="E56" t="inlineStr">
        <is>
          <t>Contacted</t>
        </is>
      </c>
    </row>
    <row r="57">
      <c r="A57" t="inlineStr">
        <is>
          <t>L-40473</t>
        </is>
      </c>
      <c r="B57" s="2" t="n">
        <v>46131</v>
      </c>
      <c r="C57" t="inlineStr">
        <is>
          <t>2026-04</t>
        </is>
      </c>
      <c r="D57" t="inlineStr">
        <is>
          <t>Nextdoor</t>
        </is>
      </c>
      <c r="E57" t="inlineStr">
        <is>
          <t>Contacted</t>
        </is>
      </c>
    </row>
    <row r="58">
      <c r="A58" t="inlineStr">
        <is>
          <t>L-40218</t>
        </is>
      </c>
      <c r="B58" s="2" t="n">
        <v>46132</v>
      </c>
      <c r="C58" t="inlineStr">
        <is>
          <t>2026-04</t>
        </is>
      </c>
      <c r="D58" t="inlineStr">
        <is>
          <t>Google Ads</t>
        </is>
      </c>
      <c r="E58" t="inlineStr">
        <is>
          <t>Contacted</t>
        </is>
      </c>
    </row>
    <row r="59">
      <c r="A59" t="inlineStr">
        <is>
          <t>L-40215</t>
        </is>
      </c>
      <c r="B59" s="2" t="n">
        <v>46132</v>
      </c>
      <c r="C59" t="inlineStr">
        <is>
          <t>2026-04</t>
        </is>
      </c>
      <c r="D59" t="inlineStr">
        <is>
          <t>Google Ads</t>
        </is>
      </c>
      <c r="E59" t="inlineStr">
        <is>
          <t>Lost</t>
        </is>
      </c>
    </row>
    <row r="60">
      <c r="A60" t="inlineStr">
        <is>
          <t>L-40241</t>
        </is>
      </c>
      <c r="B60" s="2" t="n">
        <v>46132</v>
      </c>
      <c r="C60" t="inlineStr">
        <is>
          <t>2026-04</t>
        </is>
      </c>
      <c r="D60" t="inlineStr">
        <is>
          <t>Google Ads</t>
        </is>
      </c>
      <c r="E60" t="inlineStr">
        <is>
          <t>Quoted</t>
        </is>
      </c>
    </row>
    <row r="61">
      <c r="A61" t="inlineStr">
        <is>
          <t>L-40349</t>
        </is>
      </c>
      <c r="B61" s="2" t="n">
        <v>46132</v>
      </c>
      <c r="C61" t="inlineStr">
        <is>
          <t>2026-04</t>
        </is>
      </c>
      <c r="D61" t="inlineStr">
        <is>
          <t>Meta Ads</t>
        </is>
      </c>
      <c r="E61" t="inlineStr">
        <is>
          <t>Quoted</t>
        </is>
      </c>
    </row>
    <row r="62">
      <c r="A62" t="inlineStr">
        <is>
          <t>L-40239</t>
        </is>
      </c>
      <c r="B62" s="2" t="n">
        <v>46132</v>
      </c>
      <c r="C62" t="inlineStr">
        <is>
          <t>2026-04</t>
        </is>
      </c>
      <c r="D62" t="inlineStr">
        <is>
          <t>Google Ads</t>
        </is>
      </c>
      <c r="E62" t="inlineStr">
        <is>
          <t>Contacted</t>
        </is>
      </c>
    </row>
    <row r="63">
      <c r="A63" t="inlineStr">
        <is>
          <t>L-40340</t>
        </is>
      </c>
      <c r="B63" s="2" t="n">
        <v>46132</v>
      </c>
      <c r="C63" t="inlineStr">
        <is>
          <t>2026-04</t>
        </is>
      </c>
      <c r="D63" t="inlineStr">
        <is>
          <t>Meta Ads</t>
        </is>
      </c>
      <c r="E63" t="inlineStr">
        <is>
          <t>New</t>
        </is>
      </c>
    </row>
    <row r="64">
      <c r="A64" t="inlineStr">
        <is>
          <t>L-40238</t>
        </is>
      </c>
      <c r="B64" s="2" t="n">
        <v>46133</v>
      </c>
      <c r="C64" t="inlineStr">
        <is>
          <t>2026-04</t>
        </is>
      </c>
      <c r="D64" t="inlineStr">
        <is>
          <t>Google Ads</t>
        </is>
      </c>
      <c r="E64" t="inlineStr">
        <is>
          <t>Quoted</t>
        </is>
      </c>
    </row>
    <row r="65">
      <c r="A65" t="inlineStr">
        <is>
          <t>L-40229</t>
        </is>
      </c>
      <c r="B65" s="2" t="n">
        <v>46133</v>
      </c>
      <c r="C65" t="inlineStr">
        <is>
          <t>2026-04</t>
        </is>
      </c>
      <c r="D65" t="inlineStr">
        <is>
          <t>Google Ads</t>
        </is>
      </c>
      <c r="E65" t="inlineStr">
        <is>
          <t>Lost</t>
        </is>
      </c>
    </row>
    <row r="66">
      <c r="A66" t="inlineStr">
        <is>
          <t>L-40347</t>
        </is>
      </c>
      <c r="B66" s="2" t="n">
        <v>46133</v>
      </c>
      <c r="C66" t="inlineStr">
        <is>
          <t>2026-04</t>
        </is>
      </c>
      <c r="D66" t="inlineStr">
        <is>
          <t>Meta Ads</t>
        </is>
      </c>
      <c r="E66" t="inlineStr">
        <is>
          <t>Lost</t>
        </is>
      </c>
    </row>
    <row r="67">
      <c r="A67" t="inlineStr">
        <is>
          <t>L-40250</t>
        </is>
      </c>
      <c r="B67" s="2" t="n">
        <v>46133</v>
      </c>
      <c r="C67" t="inlineStr">
        <is>
          <t>2026-04</t>
        </is>
      </c>
      <c r="D67" t="inlineStr">
        <is>
          <t>Google Ads</t>
        </is>
      </c>
      <c r="E67" t="inlineStr">
        <is>
          <t>Quoted</t>
        </is>
      </c>
    </row>
    <row r="68">
      <c r="A68" t="inlineStr">
        <is>
          <t>L-40352</t>
        </is>
      </c>
      <c r="B68" s="2" t="n">
        <v>46133</v>
      </c>
      <c r="C68" t="inlineStr">
        <is>
          <t>2026-04</t>
        </is>
      </c>
      <c r="D68" t="inlineStr">
        <is>
          <t>Meta Ads</t>
        </is>
      </c>
      <c r="E68" t="inlineStr">
        <is>
          <t>Contacted</t>
        </is>
      </c>
    </row>
    <row r="69">
      <c r="A69" t="inlineStr">
        <is>
          <t>L-40471</t>
        </is>
      </c>
      <c r="B69" s="2" t="n">
        <v>46133</v>
      </c>
      <c r="C69" t="inlineStr">
        <is>
          <t>2026-04</t>
        </is>
      </c>
      <c r="D69" t="inlineStr">
        <is>
          <t>Nextdoor</t>
        </is>
      </c>
      <c r="E69" t="inlineStr">
        <is>
          <t>Lost</t>
        </is>
      </c>
    </row>
    <row r="70">
      <c r="A70" t="inlineStr">
        <is>
          <t>L-40355</t>
        </is>
      </c>
      <c r="B70" s="2" t="n">
        <v>46135</v>
      </c>
      <c r="C70" t="inlineStr">
        <is>
          <t>2026-04</t>
        </is>
      </c>
      <c r="D70" t="inlineStr">
        <is>
          <t>Meta Ads</t>
        </is>
      </c>
      <c r="E70" t="inlineStr">
        <is>
          <t>New</t>
        </is>
      </c>
    </row>
    <row r="71">
      <c r="A71" t="inlineStr">
        <is>
          <t>L-40212</t>
        </is>
      </c>
      <c r="B71" s="2" t="n">
        <v>46135</v>
      </c>
      <c r="C71" t="inlineStr">
        <is>
          <t>2026-04</t>
        </is>
      </c>
      <c r="D71" t="inlineStr">
        <is>
          <t>Google Ads</t>
        </is>
      </c>
      <c r="E71" t="inlineStr">
        <is>
          <t>New</t>
        </is>
      </c>
    </row>
    <row r="72">
      <c r="A72" t="inlineStr">
        <is>
          <t>L-40217</t>
        </is>
      </c>
      <c r="B72" s="2" t="n">
        <v>46135</v>
      </c>
      <c r="C72" t="inlineStr">
        <is>
          <t>2026-04</t>
        </is>
      </c>
      <c r="D72" t="inlineStr">
        <is>
          <t>Google Ads</t>
        </is>
      </c>
      <c r="E72" t="inlineStr">
        <is>
          <t>Quoted</t>
        </is>
      </c>
    </row>
    <row r="73">
      <c r="A73" t="inlineStr">
        <is>
          <t>L-40222</t>
        </is>
      </c>
      <c r="B73" s="2" t="n">
        <v>46135</v>
      </c>
      <c r="C73" t="inlineStr">
        <is>
          <t>2026-04</t>
        </is>
      </c>
      <c r="D73" t="inlineStr">
        <is>
          <t>Google Ads</t>
        </is>
      </c>
      <c r="E73" t="inlineStr">
        <is>
          <t>Contacted</t>
        </is>
      </c>
    </row>
    <row r="74">
      <c r="A74" t="inlineStr">
        <is>
          <t>L-40350</t>
        </is>
      </c>
      <c r="B74" s="2" t="n">
        <v>46136</v>
      </c>
      <c r="C74" t="inlineStr">
        <is>
          <t>2026-04</t>
        </is>
      </c>
      <c r="D74" t="inlineStr">
        <is>
          <t>Meta Ads</t>
        </is>
      </c>
      <c r="E74" t="inlineStr">
        <is>
          <t>Won</t>
        </is>
      </c>
    </row>
    <row r="75">
      <c r="A75" t="inlineStr">
        <is>
          <t>L-40345</t>
        </is>
      </c>
      <c r="B75" s="2" t="n">
        <v>46136</v>
      </c>
      <c r="C75" t="inlineStr">
        <is>
          <t>2026-04</t>
        </is>
      </c>
      <c r="D75" t="inlineStr">
        <is>
          <t>Meta Ads</t>
        </is>
      </c>
      <c r="E75" t="inlineStr">
        <is>
          <t>Quoted</t>
        </is>
      </c>
    </row>
    <row r="76">
      <c r="A76" t="inlineStr">
        <is>
          <t>L-40443</t>
        </is>
      </c>
      <c r="B76" s="2" t="n">
        <v>46137</v>
      </c>
      <c r="C76" t="inlineStr">
        <is>
          <t>2026-04</t>
        </is>
      </c>
      <c r="D76" t="inlineStr">
        <is>
          <t>Yelp Ads</t>
        </is>
      </c>
      <c r="E76" t="inlineStr">
        <is>
          <t>Lost</t>
        </is>
      </c>
    </row>
    <row r="77">
      <c r="A77" t="inlineStr">
        <is>
          <t>L-40254</t>
        </is>
      </c>
      <c r="B77" s="2" t="n">
        <v>46137</v>
      </c>
      <c r="C77" t="inlineStr">
        <is>
          <t>2026-04</t>
        </is>
      </c>
      <c r="D77" t="inlineStr">
        <is>
          <t>Google Ads</t>
        </is>
      </c>
      <c r="E77" t="inlineStr">
        <is>
          <t>Contacted</t>
        </is>
      </c>
    </row>
    <row r="78">
      <c r="A78" t="inlineStr">
        <is>
          <t>L-40442</t>
        </is>
      </c>
      <c r="B78" s="2" t="n">
        <v>46137</v>
      </c>
      <c r="C78" t="inlineStr">
        <is>
          <t>2026-04</t>
        </is>
      </c>
      <c r="D78" t="inlineStr">
        <is>
          <t>Yelp Ads</t>
        </is>
      </c>
      <c r="E78" t="inlineStr">
        <is>
          <t>Quoted</t>
        </is>
      </c>
    </row>
    <row r="79">
      <c r="A79" t="inlineStr">
        <is>
          <t>L-40413</t>
        </is>
      </c>
      <c r="B79" s="2" t="n">
        <v>46138</v>
      </c>
      <c r="C79" t="inlineStr">
        <is>
          <t>2026-04</t>
        </is>
      </c>
      <c r="D79" t="inlineStr">
        <is>
          <t>LinkedIn Ads</t>
        </is>
      </c>
      <c r="E79" t="inlineStr">
        <is>
          <t>Contacted</t>
        </is>
      </c>
    </row>
    <row r="80">
      <c r="A80" t="inlineStr">
        <is>
          <t>L-40256</t>
        </is>
      </c>
      <c r="B80" s="2" t="n">
        <v>46139</v>
      </c>
      <c r="C80" t="inlineStr">
        <is>
          <t>2026-04</t>
        </is>
      </c>
      <c r="D80" t="inlineStr">
        <is>
          <t>Google Ads</t>
        </is>
      </c>
      <c r="E80" t="inlineStr">
        <is>
          <t>Won</t>
        </is>
      </c>
    </row>
    <row r="81">
      <c r="A81" t="inlineStr">
        <is>
          <t>L-40221</t>
        </is>
      </c>
      <c r="B81" s="2" t="n">
        <v>46139</v>
      </c>
      <c r="C81" t="inlineStr">
        <is>
          <t>2026-04</t>
        </is>
      </c>
      <c r="D81" t="inlineStr">
        <is>
          <t>Google Ads</t>
        </is>
      </c>
      <c r="E81" t="inlineStr">
        <is>
          <t>Quoted</t>
        </is>
      </c>
    </row>
    <row r="82">
      <c r="A82" t="inlineStr">
        <is>
          <t>L-40213</t>
        </is>
      </c>
      <c r="B82" s="2" t="n">
        <v>46139</v>
      </c>
      <c r="C82" t="inlineStr">
        <is>
          <t>2026-04</t>
        </is>
      </c>
      <c r="D82" t="inlineStr">
        <is>
          <t>Google Ads</t>
        </is>
      </c>
      <c r="E82" t="inlineStr">
        <is>
          <t>Contacted</t>
        </is>
      </c>
    </row>
    <row r="83">
      <c r="A83" t="inlineStr">
        <is>
          <t>L-40237</t>
        </is>
      </c>
      <c r="B83" s="2" t="n">
        <v>46139</v>
      </c>
      <c r="C83" t="inlineStr">
        <is>
          <t>2026-04</t>
        </is>
      </c>
      <c r="D83" t="inlineStr">
        <is>
          <t>Google Ads</t>
        </is>
      </c>
      <c r="E83" t="inlineStr">
        <is>
          <t>Contacted</t>
        </is>
      </c>
    </row>
    <row r="84">
      <c r="A84" t="inlineStr">
        <is>
          <t>L-40474</t>
        </is>
      </c>
      <c r="B84" s="2" t="n">
        <v>46140</v>
      </c>
      <c r="C84" t="inlineStr">
        <is>
          <t>2026-04</t>
        </is>
      </c>
      <c r="D84" t="inlineStr">
        <is>
          <t>Nextdoor</t>
        </is>
      </c>
      <c r="E84" t="inlineStr">
        <is>
          <t>Contacted</t>
        </is>
      </c>
    </row>
    <row r="85">
      <c r="A85" t="inlineStr">
        <is>
          <t>L-40416</t>
        </is>
      </c>
      <c r="B85" s="2" t="n">
        <v>46140</v>
      </c>
      <c r="C85" t="inlineStr">
        <is>
          <t>2026-04</t>
        </is>
      </c>
      <c r="D85" t="inlineStr">
        <is>
          <t>LinkedIn Ads</t>
        </is>
      </c>
      <c r="E85" t="inlineStr">
        <is>
          <t>Quoted</t>
        </is>
      </c>
    </row>
    <row r="86">
      <c r="A86" t="inlineStr">
        <is>
          <t>L-40353</t>
        </is>
      </c>
      <c r="B86" s="2" t="n">
        <v>46141</v>
      </c>
      <c r="C86" t="inlineStr">
        <is>
          <t>2026-04</t>
        </is>
      </c>
      <c r="D86" t="inlineStr">
        <is>
          <t>Meta Ads</t>
        </is>
      </c>
      <c r="E86" t="inlineStr">
        <is>
          <t>Contacted</t>
        </is>
      </c>
    </row>
    <row r="87">
      <c r="A87" t="inlineStr">
        <is>
          <t>L-40227</t>
        </is>
      </c>
      <c r="B87" s="2" t="n">
        <v>46142</v>
      </c>
      <c r="C87" t="inlineStr">
        <is>
          <t>2026-04</t>
        </is>
      </c>
      <c r="D87" t="inlineStr">
        <is>
          <t>Google Ads</t>
        </is>
      </c>
      <c r="E87" t="inlineStr">
        <is>
          <t>Lost</t>
        </is>
      </c>
    </row>
    <row r="88">
      <c r="A88" t="inlineStr">
        <is>
          <t>L-40234</t>
        </is>
      </c>
      <c r="B88" s="2" t="n">
        <v>46142</v>
      </c>
      <c r="C88" t="inlineStr">
        <is>
          <t>2026-04</t>
        </is>
      </c>
      <c r="D88" t="inlineStr">
        <is>
          <t>Google Ads</t>
        </is>
      </c>
      <c r="E88" t="inlineStr">
        <is>
          <t>Contacted</t>
        </is>
      </c>
    </row>
    <row r="89">
      <c r="A89" t="inlineStr">
        <is>
          <t>L-40444</t>
        </is>
      </c>
      <c r="B89" s="2" t="n">
        <v>46142</v>
      </c>
      <c r="C89" t="inlineStr">
        <is>
          <t>2026-04</t>
        </is>
      </c>
      <c r="D89" t="inlineStr">
        <is>
          <t>Yelp Ads</t>
        </is>
      </c>
      <c r="E89" t="inlineStr">
        <is>
          <t>Quoted</t>
        </is>
      </c>
    </row>
    <row r="90">
      <c r="A90" t="inlineStr">
        <is>
          <t>L-40274</t>
        </is>
      </c>
      <c r="B90" s="2" t="n">
        <v>46143</v>
      </c>
      <c r="C90" t="inlineStr">
        <is>
          <t>2026-05</t>
        </is>
      </c>
      <c r="D90" t="inlineStr">
        <is>
          <t>Google Ads</t>
        </is>
      </c>
      <c r="E90" t="inlineStr">
        <is>
          <t>Contacted</t>
        </is>
      </c>
    </row>
    <row r="91">
      <c r="A91" t="inlineStr">
        <is>
          <t>L-40453</t>
        </is>
      </c>
      <c r="B91" s="2" t="n">
        <v>46143</v>
      </c>
      <c r="C91" t="inlineStr">
        <is>
          <t>2026-05</t>
        </is>
      </c>
      <c r="D91" t="inlineStr">
        <is>
          <t>Yelp Ads</t>
        </is>
      </c>
      <c r="E91" t="inlineStr">
        <is>
          <t>Contacted</t>
        </is>
      </c>
    </row>
    <row r="92">
      <c r="A92" t="inlineStr">
        <is>
          <t>L-40377</t>
        </is>
      </c>
      <c r="B92" s="2" t="n">
        <v>46143</v>
      </c>
      <c r="C92" t="inlineStr">
        <is>
          <t>2026-05</t>
        </is>
      </c>
      <c r="D92" t="inlineStr">
        <is>
          <t>Meta Ads</t>
        </is>
      </c>
      <c r="E92" t="inlineStr">
        <is>
          <t>Won</t>
        </is>
      </c>
    </row>
    <row r="93">
      <c r="A93" t="inlineStr">
        <is>
          <t>L-40279</t>
        </is>
      </c>
      <c r="B93" s="2" t="n">
        <v>46144</v>
      </c>
      <c r="C93" t="inlineStr">
        <is>
          <t>2026-05</t>
        </is>
      </c>
      <c r="D93" t="inlineStr">
        <is>
          <t>Google Ads</t>
        </is>
      </c>
      <c r="E93" t="inlineStr">
        <is>
          <t>New</t>
        </is>
      </c>
    </row>
    <row r="94">
      <c r="A94" t="inlineStr">
        <is>
          <t>L-40262</t>
        </is>
      </c>
      <c r="B94" s="2" t="n">
        <v>46145</v>
      </c>
      <c r="C94" t="inlineStr">
        <is>
          <t>2026-05</t>
        </is>
      </c>
      <c r="D94" t="inlineStr">
        <is>
          <t>Google Ads</t>
        </is>
      </c>
      <c r="E94" t="inlineStr">
        <is>
          <t>New</t>
        </is>
      </c>
    </row>
    <row r="95">
      <c r="A95" t="inlineStr">
        <is>
          <t>L-40287</t>
        </is>
      </c>
      <c r="B95" s="2" t="n">
        <v>46146</v>
      </c>
      <c r="C95" t="inlineStr">
        <is>
          <t>2026-05</t>
        </is>
      </c>
      <c r="D95" t="inlineStr">
        <is>
          <t>Google Ads</t>
        </is>
      </c>
      <c r="E95" t="inlineStr">
        <is>
          <t>Quoted</t>
        </is>
      </c>
    </row>
    <row r="96">
      <c r="A96" t="inlineStr">
        <is>
          <t>L-40476</t>
        </is>
      </c>
      <c r="B96" s="2" t="n">
        <v>46146</v>
      </c>
      <c r="C96" t="inlineStr">
        <is>
          <t>2026-05</t>
        </is>
      </c>
      <c r="D96" t="inlineStr">
        <is>
          <t>Nextdoor</t>
        </is>
      </c>
      <c r="E96" t="inlineStr">
        <is>
          <t>Lost</t>
        </is>
      </c>
    </row>
    <row r="97">
      <c r="A97" t="inlineStr">
        <is>
          <t>L-40477</t>
        </is>
      </c>
      <c r="B97" s="2" t="n">
        <v>46147</v>
      </c>
      <c r="C97" t="inlineStr">
        <is>
          <t>2026-05</t>
        </is>
      </c>
      <c r="D97" t="inlineStr">
        <is>
          <t>Nextdoor</t>
        </is>
      </c>
      <c r="E97" t="inlineStr">
        <is>
          <t>Contacted</t>
        </is>
      </c>
    </row>
    <row r="98">
      <c r="A98" t="inlineStr">
        <is>
          <t>L-40417</t>
        </is>
      </c>
      <c r="B98" s="2" t="n">
        <v>46147</v>
      </c>
      <c r="C98" t="inlineStr">
        <is>
          <t>2026-05</t>
        </is>
      </c>
      <c r="D98" t="inlineStr">
        <is>
          <t>LinkedIn Ads</t>
        </is>
      </c>
      <c r="E98" t="inlineStr">
        <is>
          <t>Lost</t>
        </is>
      </c>
    </row>
    <row r="99">
      <c r="A99" t="inlineStr">
        <is>
          <t>L-40379</t>
        </is>
      </c>
      <c r="B99" s="2" t="n">
        <v>46148</v>
      </c>
      <c r="C99" t="inlineStr">
        <is>
          <t>2026-05</t>
        </is>
      </c>
      <c r="D99" t="inlineStr">
        <is>
          <t>Meta Ads</t>
        </is>
      </c>
      <c r="E99" t="inlineStr">
        <is>
          <t>Contacted</t>
        </is>
      </c>
    </row>
    <row r="100">
      <c r="A100" t="inlineStr">
        <is>
          <t>L-40451</t>
        </is>
      </c>
      <c r="B100" s="2" t="n">
        <v>46148</v>
      </c>
      <c r="C100" t="inlineStr">
        <is>
          <t>2026-05</t>
        </is>
      </c>
      <c r="D100" t="inlineStr">
        <is>
          <t>Yelp Ads</t>
        </is>
      </c>
      <c r="E100" t="inlineStr">
        <is>
          <t>Contacted</t>
        </is>
      </c>
    </row>
    <row r="101">
      <c r="A101" t="inlineStr">
        <is>
          <t>L-40282</t>
        </is>
      </c>
      <c r="B101" s="2" t="n">
        <v>46148</v>
      </c>
      <c r="C101" t="inlineStr">
        <is>
          <t>2026-05</t>
        </is>
      </c>
      <c r="D101" t="inlineStr">
        <is>
          <t>Google Ads</t>
        </is>
      </c>
      <c r="E101" t="inlineStr">
        <is>
          <t>Contacted</t>
        </is>
      </c>
    </row>
    <row r="102">
      <c r="A102" t="inlineStr">
        <is>
          <t>L-40478</t>
        </is>
      </c>
      <c r="B102" s="2" t="n">
        <v>46149</v>
      </c>
      <c r="C102" t="inlineStr">
        <is>
          <t>2026-05</t>
        </is>
      </c>
      <c r="D102" t="inlineStr">
        <is>
          <t>Nextdoor</t>
        </is>
      </c>
      <c r="E102" t="inlineStr">
        <is>
          <t>Won</t>
        </is>
      </c>
    </row>
    <row r="103">
      <c r="A103" t="inlineStr">
        <is>
          <t>L-40276</t>
        </is>
      </c>
      <c r="B103" s="2" t="n">
        <v>46149</v>
      </c>
      <c r="C103" t="inlineStr">
        <is>
          <t>2026-05</t>
        </is>
      </c>
      <c r="D103" t="inlineStr">
        <is>
          <t>Google Ads</t>
        </is>
      </c>
      <c r="E103" t="inlineStr">
        <is>
          <t>Quoted</t>
        </is>
      </c>
    </row>
    <row r="104">
      <c r="A104" t="inlineStr">
        <is>
          <t>L-40366</t>
        </is>
      </c>
      <c r="B104" s="2" t="n">
        <v>46150</v>
      </c>
      <c r="C104" t="inlineStr">
        <is>
          <t>2026-05</t>
        </is>
      </c>
      <c r="D104" t="inlineStr">
        <is>
          <t>Meta Ads</t>
        </is>
      </c>
      <c r="E104" t="inlineStr">
        <is>
          <t>Lost</t>
        </is>
      </c>
    </row>
    <row r="105">
      <c r="A105" t="inlineStr">
        <is>
          <t>L-40284</t>
        </is>
      </c>
      <c r="B105" s="2" t="n">
        <v>46151</v>
      </c>
      <c r="C105" t="inlineStr">
        <is>
          <t>2026-05</t>
        </is>
      </c>
      <c r="D105" t="inlineStr">
        <is>
          <t>Google Ads</t>
        </is>
      </c>
      <c r="E105" t="inlineStr">
        <is>
          <t>Won</t>
        </is>
      </c>
    </row>
    <row r="106">
      <c r="A106" t="inlineStr">
        <is>
          <t>L-40450</t>
        </is>
      </c>
      <c r="B106" s="2" t="n">
        <v>46151</v>
      </c>
      <c r="C106" t="inlineStr">
        <is>
          <t>2026-05</t>
        </is>
      </c>
      <c r="D106" t="inlineStr">
        <is>
          <t>Yelp Ads</t>
        </is>
      </c>
      <c r="E106" t="inlineStr">
        <is>
          <t>Contacted</t>
        </is>
      </c>
    </row>
    <row r="107">
      <c r="A107" t="inlineStr">
        <is>
          <t>L-40285</t>
        </is>
      </c>
      <c r="B107" s="2" t="n">
        <v>46151</v>
      </c>
      <c r="C107" t="inlineStr">
        <is>
          <t>2026-05</t>
        </is>
      </c>
      <c r="D107" t="inlineStr">
        <is>
          <t>Google Ads</t>
        </is>
      </c>
      <c r="E107" t="inlineStr">
        <is>
          <t>Quoted</t>
        </is>
      </c>
    </row>
    <row r="108">
      <c r="A108" t="inlineStr">
        <is>
          <t>L-40269</t>
        </is>
      </c>
      <c r="B108" s="2" t="n">
        <v>46152</v>
      </c>
      <c r="C108" t="inlineStr">
        <is>
          <t>2026-05</t>
        </is>
      </c>
      <c r="D108" t="inlineStr">
        <is>
          <t>Google Ads</t>
        </is>
      </c>
      <c r="E108" t="inlineStr">
        <is>
          <t>Lost</t>
        </is>
      </c>
    </row>
    <row r="109">
      <c r="A109" t="inlineStr">
        <is>
          <t>L-40361</t>
        </is>
      </c>
      <c r="B109" s="2" t="n">
        <v>46152</v>
      </c>
      <c r="C109" t="inlineStr">
        <is>
          <t>2026-05</t>
        </is>
      </c>
      <c r="D109" t="inlineStr">
        <is>
          <t>Meta Ads</t>
        </is>
      </c>
      <c r="E109" t="inlineStr">
        <is>
          <t>Contacted</t>
        </is>
      </c>
    </row>
    <row r="110">
      <c r="A110" t="inlineStr">
        <is>
          <t>L-40454</t>
        </is>
      </c>
      <c r="B110" s="2" t="n">
        <v>46152</v>
      </c>
      <c r="C110" t="inlineStr">
        <is>
          <t>2026-05</t>
        </is>
      </c>
      <c r="D110" t="inlineStr">
        <is>
          <t>Yelp Ads</t>
        </is>
      </c>
      <c r="E110" t="inlineStr">
        <is>
          <t>Won</t>
        </is>
      </c>
    </row>
    <row r="111">
      <c r="A111" t="inlineStr">
        <is>
          <t>L-40265</t>
        </is>
      </c>
      <c r="B111" s="2" t="n">
        <v>46153</v>
      </c>
      <c r="C111" t="inlineStr">
        <is>
          <t>2026-05</t>
        </is>
      </c>
      <c r="D111" t="inlineStr">
        <is>
          <t>Google Ads</t>
        </is>
      </c>
      <c r="E111" t="inlineStr">
        <is>
          <t>Quoted</t>
        </is>
      </c>
    </row>
    <row r="112">
      <c r="A112" t="inlineStr">
        <is>
          <t>L-40449</t>
        </is>
      </c>
      <c r="B112" s="2" t="n">
        <v>46154</v>
      </c>
      <c r="C112" t="inlineStr">
        <is>
          <t>2026-05</t>
        </is>
      </c>
      <c r="D112" t="inlineStr">
        <is>
          <t>Yelp Ads</t>
        </is>
      </c>
      <c r="E112" t="inlineStr">
        <is>
          <t>Won</t>
        </is>
      </c>
    </row>
    <row r="113">
      <c r="A113" t="inlineStr">
        <is>
          <t>L-40364</t>
        </is>
      </c>
      <c r="B113" s="2" t="n">
        <v>46154</v>
      </c>
      <c r="C113" t="inlineStr">
        <is>
          <t>2026-05</t>
        </is>
      </c>
      <c r="D113" t="inlineStr">
        <is>
          <t>Meta Ads</t>
        </is>
      </c>
      <c r="E113" t="inlineStr">
        <is>
          <t>Quoted</t>
        </is>
      </c>
    </row>
    <row r="114">
      <c r="A114" t="inlineStr">
        <is>
          <t>L-40275</t>
        </is>
      </c>
      <c r="B114" s="2" t="n">
        <v>46154</v>
      </c>
      <c r="C114" t="inlineStr">
        <is>
          <t>2026-05</t>
        </is>
      </c>
      <c r="D114" t="inlineStr">
        <is>
          <t>Google Ads</t>
        </is>
      </c>
      <c r="E114" t="inlineStr">
        <is>
          <t>Lost</t>
        </is>
      </c>
    </row>
    <row r="115">
      <c r="A115" t="inlineStr">
        <is>
          <t>L-40376</t>
        </is>
      </c>
      <c r="B115" s="2" t="n">
        <v>46154</v>
      </c>
      <c r="C115" t="inlineStr">
        <is>
          <t>2026-05</t>
        </is>
      </c>
      <c r="D115" t="inlineStr">
        <is>
          <t>Meta Ads</t>
        </is>
      </c>
      <c r="E115" t="inlineStr">
        <is>
          <t>Contacted</t>
        </is>
      </c>
    </row>
    <row r="116">
      <c r="A116" t="inlineStr">
        <is>
          <t>L-40368</t>
        </is>
      </c>
      <c r="B116" s="2" t="n">
        <v>46154</v>
      </c>
      <c r="C116" t="inlineStr">
        <is>
          <t>2026-05</t>
        </is>
      </c>
      <c r="D116" t="inlineStr">
        <is>
          <t>Meta Ads</t>
        </is>
      </c>
      <c r="E116" t="inlineStr">
        <is>
          <t>Lost</t>
        </is>
      </c>
    </row>
    <row r="117">
      <c r="A117" t="inlineStr">
        <is>
          <t>L-40373</t>
        </is>
      </c>
      <c r="B117" s="2" t="n">
        <v>46155</v>
      </c>
      <c r="C117" t="inlineStr">
        <is>
          <t>2026-05</t>
        </is>
      </c>
      <c r="D117" t="inlineStr">
        <is>
          <t>Meta Ads</t>
        </is>
      </c>
      <c r="E117" t="inlineStr">
        <is>
          <t>Won</t>
        </is>
      </c>
    </row>
    <row r="118">
      <c r="A118" t="inlineStr">
        <is>
          <t>L-40367</t>
        </is>
      </c>
      <c r="B118" s="2" t="n">
        <v>46155</v>
      </c>
      <c r="C118" t="inlineStr">
        <is>
          <t>2026-05</t>
        </is>
      </c>
      <c r="D118" t="inlineStr">
        <is>
          <t>Meta Ads</t>
        </is>
      </c>
      <c r="E118" t="inlineStr">
        <is>
          <t>Lost</t>
        </is>
      </c>
    </row>
    <row r="119">
      <c r="A119" t="inlineStr">
        <is>
          <t>L-40419</t>
        </is>
      </c>
      <c r="B119" s="2" t="n">
        <v>46155</v>
      </c>
      <c r="C119" t="inlineStr">
        <is>
          <t>2026-05</t>
        </is>
      </c>
      <c r="D119" t="inlineStr">
        <is>
          <t>LinkedIn Ads</t>
        </is>
      </c>
      <c r="E119" t="inlineStr">
        <is>
          <t>Won</t>
        </is>
      </c>
    </row>
    <row r="120">
      <c r="A120" t="inlineStr">
        <is>
          <t>L-40272</t>
        </is>
      </c>
      <c r="B120" s="2" t="n">
        <v>46155</v>
      </c>
      <c r="C120" t="inlineStr">
        <is>
          <t>2026-05</t>
        </is>
      </c>
      <c r="D120" t="inlineStr">
        <is>
          <t>Google Ads</t>
        </is>
      </c>
      <c r="E120" t="inlineStr">
        <is>
          <t>Quoted</t>
        </is>
      </c>
    </row>
    <row r="121">
      <c r="A121" t="inlineStr">
        <is>
          <t>L-40271</t>
        </is>
      </c>
      <c r="B121" s="2" t="n">
        <v>46156</v>
      </c>
      <c r="C121" t="inlineStr">
        <is>
          <t>2026-05</t>
        </is>
      </c>
      <c r="D121" t="inlineStr">
        <is>
          <t>Google Ads</t>
        </is>
      </c>
      <c r="E121" t="inlineStr">
        <is>
          <t>Quoted</t>
        </is>
      </c>
    </row>
    <row r="122">
      <c r="A122" t="inlineStr">
        <is>
          <t>L-40479</t>
        </is>
      </c>
      <c r="B122" s="2" t="n">
        <v>46156</v>
      </c>
      <c r="C122" t="inlineStr">
        <is>
          <t>2026-05</t>
        </is>
      </c>
      <c r="D122" t="inlineStr">
        <is>
          <t>Nextdoor</t>
        </is>
      </c>
      <c r="E122" t="inlineStr">
        <is>
          <t>Contacted</t>
        </is>
      </c>
    </row>
    <row r="123">
      <c r="A123" t="inlineStr">
        <is>
          <t>L-40283</t>
        </is>
      </c>
      <c r="B123" s="2" t="n">
        <v>46157</v>
      </c>
      <c r="C123" t="inlineStr">
        <is>
          <t>2026-05</t>
        </is>
      </c>
      <c r="D123" t="inlineStr">
        <is>
          <t>Google Ads</t>
        </is>
      </c>
      <c r="E123" t="inlineStr">
        <is>
          <t>Contacted</t>
        </is>
      </c>
    </row>
    <row r="124">
      <c r="A124" t="inlineStr">
        <is>
          <t>L-40277</t>
        </is>
      </c>
      <c r="B124" s="2" t="n">
        <v>46157</v>
      </c>
      <c r="C124" t="inlineStr">
        <is>
          <t>2026-05</t>
        </is>
      </c>
      <c r="D124" t="inlineStr">
        <is>
          <t>Google Ads</t>
        </is>
      </c>
      <c r="E124" t="inlineStr">
        <is>
          <t>Quoted</t>
        </is>
      </c>
    </row>
    <row r="125">
      <c r="A125" t="inlineStr">
        <is>
          <t>L-40356</t>
        </is>
      </c>
      <c r="B125" s="2" t="n">
        <v>46157</v>
      </c>
      <c r="C125" t="inlineStr">
        <is>
          <t>2026-05</t>
        </is>
      </c>
      <c r="D125" t="inlineStr">
        <is>
          <t>Meta Ads</t>
        </is>
      </c>
      <c r="E125" t="inlineStr">
        <is>
          <t>Won</t>
        </is>
      </c>
    </row>
    <row r="126">
      <c r="A126" t="inlineStr">
        <is>
          <t>L-40421</t>
        </is>
      </c>
      <c r="B126" s="2" t="n">
        <v>46157</v>
      </c>
      <c r="C126" t="inlineStr">
        <is>
          <t>2026-05</t>
        </is>
      </c>
      <c r="D126" t="inlineStr">
        <is>
          <t>LinkedIn Ads</t>
        </is>
      </c>
      <c r="E126" t="inlineStr">
        <is>
          <t>New</t>
        </is>
      </c>
    </row>
    <row r="127">
      <c r="A127" t="inlineStr">
        <is>
          <t>L-40273</t>
        </is>
      </c>
      <c r="B127" s="2" t="n">
        <v>46158</v>
      </c>
      <c r="C127" t="inlineStr">
        <is>
          <t>2026-05</t>
        </is>
      </c>
      <c r="D127" t="inlineStr">
        <is>
          <t>Google Ads</t>
        </is>
      </c>
      <c r="E127" t="inlineStr">
        <is>
          <t>Quoted</t>
        </is>
      </c>
    </row>
    <row r="128">
      <c r="A128" t="inlineStr">
        <is>
          <t>L-40365</t>
        </is>
      </c>
      <c r="B128" s="2" t="n">
        <v>46158</v>
      </c>
      <c r="C128" t="inlineStr">
        <is>
          <t>2026-05</t>
        </is>
      </c>
      <c r="D128" t="inlineStr">
        <is>
          <t>Meta Ads</t>
        </is>
      </c>
      <c r="E128" t="inlineStr">
        <is>
          <t>Contacted</t>
        </is>
      </c>
    </row>
    <row r="129">
      <c r="A129" t="inlineStr">
        <is>
          <t>L-40362</t>
        </is>
      </c>
      <c r="B129" s="2" t="n">
        <v>46158</v>
      </c>
      <c r="C129" t="inlineStr">
        <is>
          <t>2026-05</t>
        </is>
      </c>
      <c r="D129" t="inlineStr">
        <is>
          <t>Meta Ads</t>
        </is>
      </c>
      <c r="E129" t="inlineStr">
        <is>
          <t>Contacted</t>
        </is>
      </c>
    </row>
    <row r="130">
      <c r="A130" t="inlineStr">
        <is>
          <t>L-40371</t>
        </is>
      </c>
      <c r="B130" s="2" t="n">
        <v>46158</v>
      </c>
      <c r="C130" t="inlineStr">
        <is>
          <t>2026-05</t>
        </is>
      </c>
      <c r="D130" t="inlineStr">
        <is>
          <t>Meta Ads</t>
        </is>
      </c>
      <c r="E130" t="inlineStr">
        <is>
          <t>New</t>
        </is>
      </c>
    </row>
    <row r="131">
      <c r="A131" t="inlineStr">
        <is>
          <t>L-40378</t>
        </is>
      </c>
      <c r="B131" s="2" t="n">
        <v>46159</v>
      </c>
      <c r="C131" t="inlineStr">
        <is>
          <t>2026-05</t>
        </is>
      </c>
      <c r="D131" t="inlineStr">
        <is>
          <t>Meta Ads</t>
        </is>
      </c>
      <c r="E131" t="inlineStr">
        <is>
          <t>Quoted</t>
        </is>
      </c>
    </row>
    <row r="132">
      <c r="A132" t="inlineStr">
        <is>
          <t>L-40270</t>
        </is>
      </c>
      <c r="B132" s="2" t="n">
        <v>46159</v>
      </c>
      <c r="C132" t="inlineStr">
        <is>
          <t>2026-05</t>
        </is>
      </c>
      <c r="D132" t="inlineStr">
        <is>
          <t>Google Ads</t>
        </is>
      </c>
      <c r="E132" t="inlineStr">
        <is>
          <t>Lost</t>
        </is>
      </c>
    </row>
    <row r="133">
      <c r="A133" t="inlineStr">
        <is>
          <t>L-40374</t>
        </is>
      </c>
      <c r="B133" s="2" t="n">
        <v>46159</v>
      </c>
      <c r="C133" t="inlineStr">
        <is>
          <t>2026-05</t>
        </is>
      </c>
      <c r="D133" t="inlineStr">
        <is>
          <t>Meta Ads</t>
        </is>
      </c>
      <c r="E133" t="inlineStr">
        <is>
          <t>Won</t>
        </is>
      </c>
    </row>
    <row r="134">
      <c r="A134" t="inlineStr">
        <is>
          <t>L-40420</t>
        </is>
      </c>
      <c r="B134" s="2" t="n">
        <v>46159</v>
      </c>
      <c r="C134" t="inlineStr">
        <is>
          <t>2026-05</t>
        </is>
      </c>
      <c r="D134" t="inlineStr">
        <is>
          <t>LinkedIn Ads</t>
        </is>
      </c>
      <c r="E134" t="inlineStr">
        <is>
          <t>Quoted</t>
        </is>
      </c>
    </row>
    <row r="135">
      <c r="A135" t="inlineStr">
        <is>
          <t>L-40264</t>
        </is>
      </c>
      <c r="B135" s="2" t="n">
        <v>46160</v>
      </c>
      <c r="C135" t="inlineStr">
        <is>
          <t>2026-05</t>
        </is>
      </c>
      <c r="D135" t="inlineStr">
        <is>
          <t>Google Ads</t>
        </is>
      </c>
      <c r="E135" t="inlineStr">
        <is>
          <t>Contacted</t>
        </is>
      </c>
    </row>
    <row r="136">
      <c r="A136" t="inlineStr">
        <is>
          <t>L-40446</t>
        </is>
      </c>
      <c r="B136" s="2" t="n">
        <v>46160</v>
      </c>
      <c r="C136" t="inlineStr">
        <is>
          <t>2026-05</t>
        </is>
      </c>
      <c r="D136" t="inlineStr">
        <is>
          <t>Yelp Ads</t>
        </is>
      </c>
      <c r="E136" t="inlineStr">
        <is>
          <t>Quoted</t>
        </is>
      </c>
    </row>
    <row r="137">
      <c r="A137" t="inlineStr">
        <is>
          <t>L-40447</t>
        </is>
      </c>
      <c r="B137" s="2" t="n">
        <v>46160</v>
      </c>
      <c r="C137" t="inlineStr">
        <is>
          <t>2026-05</t>
        </is>
      </c>
      <c r="D137" t="inlineStr">
        <is>
          <t>Yelp Ads</t>
        </is>
      </c>
      <c r="E137" t="inlineStr">
        <is>
          <t>Quoted</t>
        </is>
      </c>
    </row>
    <row r="138">
      <c r="A138" t="inlineStr">
        <is>
          <t>L-40363</t>
        </is>
      </c>
      <c r="B138" s="2" t="n">
        <v>46160</v>
      </c>
      <c r="C138" t="inlineStr">
        <is>
          <t>2026-05</t>
        </is>
      </c>
      <c r="D138" t="inlineStr">
        <is>
          <t>Meta Ads</t>
        </is>
      </c>
      <c r="E138" t="inlineStr">
        <is>
          <t>Quoted</t>
        </is>
      </c>
    </row>
    <row r="139">
      <c r="A139" t="inlineStr">
        <is>
          <t>L-40259</t>
        </is>
      </c>
      <c r="B139" s="2" t="n">
        <v>46161</v>
      </c>
      <c r="C139" t="inlineStr">
        <is>
          <t>2026-05</t>
        </is>
      </c>
      <c r="D139" t="inlineStr">
        <is>
          <t>Google Ads</t>
        </is>
      </c>
      <c r="E139" t="inlineStr">
        <is>
          <t>Won</t>
        </is>
      </c>
    </row>
    <row r="140">
      <c r="A140" t="inlineStr">
        <is>
          <t>L-40281</t>
        </is>
      </c>
      <c r="B140" s="2" t="n">
        <v>46161</v>
      </c>
      <c r="C140" t="inlineStr">
        <is>
          <t>2026-05</t>
        </is>
      </c>
      <c r="D140" t="inlineStr">
        <is>
          <t>Google Ads</t>
        </is>
      </c>
      <c r="E140" t="inlineStr">
        <is>
          <t>Lost</t>
        </is>
      </c>
    </row>
    <row r="141">
      <c r="A141" t="inlineStr">
        <is>
          <t>L-40448</t>
        </is>
      </c>
      <c r="B141" s="2" t="n">
        <v>46162</v>
      </c>
      <c r="C141" t="inlineStr">
        <is>
          <t>2026-05</t>
        </is>
      </c>
      <c r="D141" t="inlineStr">
        <is>
          <t>Yelp Ads</t>
        </is>
      </c>
      <c r="E141" t="inlineStr">
        <is>
          <t>Won</t>
        </is>
      </c>
    </row>
    <row r="142">
      <c r="A142" t="inlineStr">
        <is>
          <t>L-40418</t>
        </is>
      </c>
      <c r="B142" s="2" t="n">
        <v>46162</v>
      </c>
      <c r="C142" t="inlineStr">
        <is>
          <t>2026-05</t>
        </is>
      </c>
      <c r="D142" t="inlineStr">
        <is>
          <t>LinkedIn Ads</t>
        </is>
      </c>
      <c r="E142" t="inlineStr">
        <is>
          <t>Quoted</t>
        </is>
      </c>
    </row>
    <row r="143">
      <c r="A143" t="inlineStr">
        <is>
          <t>L-40291</t>
        </is>
      </c>
      <c r="B143" s="2" t="n">
        <v>46162</v>
      </c>
      <c r="C143" t="inlineStr">
        <is>
          <t>2026-05</t>
        </is>
      </c>
      <c r="D143" t="inlineStr">
        <is>
          <t>Google Ads</t>
        </is>
      </c>
      <c r="E143" t="inlineStr">
        <is>
          <t>Lost</t>
        </is>
      </c>
    </row>
    <row r="144">
      <c r="A144" t="inlineStr">
        <is>
          <t>L-40280</t>
        </is>
      </c>
      <c r="B144" s="2" t="n">
        <v>46162</v>
      </c>
      <c r="C144" t="inlineStr">
        <is>
          <t>2026-05</t>
        </is>
      </c>
      <c r="D144" t="inlineStr">
        <is>
          <t>Google Ads</t>
        </is>
      </c>
      <c r="E144" t="inlineStr">
        <is>
          <t>Lost</t>
        </is>
      </c>
    </row>
    <row r="145">
      <c r="A145" t="inlineStr">
        <is>
          <t>L-40475</t>
        </is>
      </c>
      <c r="B145" s="2" t="n">
        <v>46163</v>
      </c>
      <c r="C145" t="inlineStr">
        <is>
          <t>2026-05</t>
        </is>
      </c>
      <c r="D145" t="inlineStr">
        <is>
          <t>Nextdoor</t>
        </is>
      </c>
      <c r="E145" t="inlineStr">
        <is>
          <t>Quoted</t>
        </is>
      </c>
    </row>
    <row r="146">
      <c r="A146" t="inlineStr">
        <is>
          <t>L-40480</t>
        </is>
      </c>
      <c r="B146" s="2" t="n">
        <v>46163</v>
      </c>
      <c r="C146" t="inlineStr">
        <is>
          <t>2026-05</t>
        </is>
      </c>
      <c r="D146" t="inlineStr">
        <is>
          <t>Nextdoor</t>
        </is>
      </c>
      <c r="E146" t="inlineStr">
        <is>
          <t>Lost</t>
        </is>
      </c>
    </row>
    <row r="147">
      <c r="A147" t="inlineStr">
        <is>
          <t>L-40358</t>
        </is>
      </c>
      <c r="B147" s="2" t="n">
        <v>46164</v>
      </c>
      <c r="C147" t="inlineStr">
        <is>
          <t>2026-05</t>
        </is>
      </c>
      <c r="D147" t="inlineStr">
        <is>
          <t>Meta Ads</t>
        </is>
      </c>
      <c r="E147" t="inlineStr">
        <is>
          <t>Contacted</t>
        </is>
      </c>
    </row>
    <row r="148">
      <c r="A148" t="inlineStr">
        <is>
          <t>L-40261</t>
        </is>
      </c>
      <c r="B148" s="2" t="n">
        <v>46165</v>
      </c>
      <c r="C148" t="inlineStr">
        <is>
          <t>2026-05</t>
        </is>
      </c>
      <c r="D148" t="inlineStr">
        <is>
          <t>Google Ads</t>
        </is>
      </c>
      <c r="E148" t="inlineStr">
        <is>
          <t>Quoted</t>
        </is>
      </c>
    </row>
    <row r="149">
      <c r="A149" t="inlineStr">
        <is>
          <t>L-40267</t>
        </is>
      </c>
      <c r="B149" s="2" t="n">
        <v>46165</v>
      </c>
      <c r="C149" t="inlineStr">
        <is>
          <t>2026-05</t>
        </is>
      </c>
      <c r="D149" t="inlineStr">
        <is>
          <t>Google Ads</t>
        </is>
      </c>
      <c r="E149" t="inlineStr">
        <is>
          <t>Contacted</t>
        </is>
      </c>
    </row>
    <row r="150">
      <c r="A150" t="inlineStr">
        <is>
          <t>L-40372</t>
        </is>
      </c>
      <c r="B150" s="2" t="n">
        <v>46166</v>
      </c>
      <c r="C150" t="inlineStr">
        <is>
          <t>2026-05</t>
        </is>
      </c>
      <c r="D150" t="inlineStr">
        <is>
          <t>Meta Ads</t>
        </is>
      </c>
      <c r="E150" t="inlineStr">
        <is>
          <t>Lost</t>
        </is>
      </c>
    </row>
    <row r="151">
      <c r="A151" t="inlineStr">
        <is>
          <t>L-40455</t>
        </is>
      </c>
      <c r="B151" s="2" t="n">
        <v>46166</v>
      </c>
      <c r="C151" t="inlineStr">
        <is>
          <t>2026-05</t>
        </is>
      </c>
      <c r="D151" t="inlineStr">
        <is>
          <t>Yelp Ads</t>
        </is>
      </c>
      <c r="E151" t="inlineStr">
        <is>
          <t>Contacted</t>
        </is>
      </c>
    </row>
    <row r="152">
      <c r="A152" t="inlineStr">
        <is>
          <t>L-40452</t>
        </is>
      </c>
      <c r="B152" s="2" t="n">
        <v>46166</v>
      </c>
      <c r="C152" t="inlineStr">
        <is>
          <t>2026-05</t>
        </is>
      </c>
      <c r="D152" t="inlineStr">
        <is>
          <t>Yelp Ads</t>
        </is>
      </c>
      <c r="E152" t="inlineStr">
        <is>
          <t>Lost</t>
        </is>
      </c>
    </row>
    <row r="153">
      <c r="A153" t="inlineStr">
        <is>
          <t>L-40260</t>
        </is>
      </c>
      <c r="B153" s="2" t="n">
        <v>46167</v>
      </c>
      <c r="C153" t="inlineStr">
        <is>
          <t>2026-05</t>
        </is>
      </c>
      <c r="D153" t="inlineStr">
        <is>
          <t>Google Ads</t>
        </is>
      </c>
      <c r="E153" t="inlineStr">
        <is>
          <t>Quoted</t>
        </is>
      </c>
    </row>
    <row r="154">
      <c r="A154" t="inlineStr">
        <is>
          <t>L-40290</t>
        </is>
      </c>
      <c r="B154" s="2" t="n">
        <v>46167</v>
      </c>
      <c r="C154" t="inlineStr">
        <is>
          <t>2026-05</t>
        </is>
      </c>
      <c r="D154" t="inlineStr">
        <is>
          <t>Google Ads</t>
        </is>
      </c>
      <c r="E154" t="inlineStr">
        <is>
          <t>Lost</t>
        </is>
      </c>
    </row>
    <row r="155">
      <c r="A155" t="inlineStr">
        <is>
          <t>L-40278</t>
        </is>
      </c>
      <c r="B155" s="2" t="n">
        <v>46168</v>
      </c>
      <c r="C155" t="inlineStr">
        <is>
          <t>2026-05</t>
        </is>
      </c>
      <c r="D155" t="inlineStr">
        <is>
          <t>Google Ads</t>
        </is>
      </c>
      <c r="E155" t="inlineStr">
        <is>
          <t>Quoted</t>
        </is>
      </c>
    </row>
    <row r="156">
      <c r="A156" t="inlineStr">
        <is>
          <t>L-40375</t>
        </is>
      </c>
      <c r="B156" s="2" t="n">
        <v>46168</v>
      </c>
      <c r="C156" t="inlineStr">
        <is>
          <t>2026-05</t>
        </is>
      </c>
      <c r="D156" t="inlineStr">
        <is>
          <t>Meta Ads</t>
        </is>
      </c>
      <c r="E156" t="inlineStr">
        <is>
          <t>Lost</t>
        </is>
      </c>
    </row>
    <row r="157">
      <c r="A157" t="inlineStr">
        <is>
          <t>L-40266</t>
        </is>
      </c>
      <c r="B157" s="2" t="n">
        <v>46169</v>
      </c>
      <c r="C157" t="inlineStr">
        <is>
          <t>2026-05</t>
        </is>
      </c>
      <c r="D157" t="inlineStr">
        <is>
          <t>Google Ads</t>
        </is>
      </c>
      <c r="E157" t="inlineStr">
        <is>
          <t>Contacted</t>
        </is>
      </c>
    </row>
    <row r="158">
      <c r="A158" t="inlineStr">
        <is>
          <t>L-40289</t>
        </is>
      </c>
      <c r="B158" s="2" t="n">
        <v>46169</v>
      </c>
      <c r="C158" t="inlineStr">
        <is>
          <t>2026-05</t>
        </is>
      </c>
      <c r="D158" t="inlineStr">
        <is>
          <t>Google Ads</t>
        </is>
      </c>
      <c r="E158" t="inlineStr">
        <is>
          <t>Lost</t>
        </is>
      </c>
    </row>
    <row r="159">
      <c r="A159" t="inlineStr">
        <is>
          <t>L-40370</t>
        </is>
      </c>
      <c r="B159" s="2" t="n">
        <v>46169</v>
      </c>
      <c r="C159" t="inlineStr">
        <is>
          <t>2026-05</t>
        </is>
      </c>
      <c r="D159" t="inlineStr">
        <is>
          <t>Meta Ads</t>
        </is>
      </c>
      <c r="E159" t="inlineStr">
        <is>
          <t>Quoted</t>
        </is>
      </c>
    </row>
    <row r="160">
      <c r="A160" t="inlineStr">
        <is>
          <t>L-40360</t>
        </is>
      </c>
      <c r="B160" s="2" t="n">
        <v>46169</v>
      </c>
      <c r="C160" t="inlineStr">
        <is>
          <t>2026-05</t>
        </is>
      </c>
      <c r="D160" t="inlineStr">
        <is>
          <t>Meta Ads</t>
        </is>
      </c>
      <c r="E160" t="inlineStr">
        <is>
          <t>Lost</t>
        </is>
      </c>
    </row>
    <row r="161">
      <c r="A161" t="inlineStr">
        <is>
          <t>L-40288</t>
        </is>
      </c>
      <c r="B161" s="2" t="n">
        <v>46169</v>
      </c>
      <c r="C161" t="inlineStr">
        <is>
          <t>2026-05</t>
        </is>
      </c>
      <c r="D161" t="inlineStr">
        <is>
          <t>Google Ads</t>
        </is>
      </c>
      <c r="E161" t="inlineStr">
        <is>
          <t>Quoted</t>
        </is>
      </c>
    </row>
    <row r="162">
      <c r="A162" t="inlineStr">
        <is>
          <t>L-40268</t>
        </is>
      </c>
      <c r="B162" s="2" t="n">
        <v>46171</v>
      </c>
      <c r="C162" t="inlineStr">
        <is>
          <t>2026-05</t>
        </is>
      </c>
      <c r="D162" t="inlineStr">
        <is>
          <t>Google Ads</t>
        </is>
      </c>
      <c r="E162" t="inlineStr">
        <is>
          <t>Contacted</t>
        </is>
      </c>
    </row>
    <row r="163">
      <c r="A163" t="inlineStr">
        <is>
          <t>L-40359</t>
        </is>
      </c>
      <c r="B163" s="2" t="n">
        <v>46172</v>
      </c>
      <c r="C163" t="inlineStr">
        <is>
          <t>2026-05</t>
        </is>
      </c>
      <c r="D163" t="inlineStr">
        <is>
          <t>Meta Ads</t>
        </is>
      </c>
      <c r="E163" t="inlineStr">
        <is>
          <t>Quoted</t>
        </is>
      </c>
    </row>
    <row r="164">
      <c r="A164" t="inlineStr">
        <is>
          <t>L-40369</t>
        </is>
      </c>
      <c r="B164" s="2" t="n">
        <v>46172</v>
      </c>
      <c r="C164" t="inlineStr">
        <is>
          <t>2026-05</t>
        </is>
      </c>
      <c r="D164" t="inlineStr">
        <is>
          <t>Meta Ads</t>
        </is>
      </c>
      <c r="E164" t="inlineStr">
        <is>
          <t>Contacted</t>
        </is>
      </c>
    </row>
    <row r="165">
      <c r="A165" t="inlineStr">
        <is>
          <t>L-40286</t>
        </is>
      </c>
      <c r="B165" s="2" t="n">
        <v>46172</v>
      </c>
      <c r="C165" t="inlineStr">
        <is>
          <t>2026-05</t>
        </is>
      </c>
      <c r="D165" t="inlineStr">
        <is>
          <t>Google Ads</t>
        </is>
      </c>
      <c r="E165" t="inlineStr">
        <is>
          <t>New</t>
        </is>
      </c>
    </row>
    <row r="166">
      <c r="A166" t="inlineStr">
        <is>
          <t>L-40357</t>
        </is>
      </c>
      <c r="B166" s="2" t="n">
        <v>46172</v>
      </c>
      <c r="C166" t="inlineStr">
        <is>
          <t>2026-05</t>
        </is>
      </c>
      <c r="D166" t="inlineStr">
        <is>
          <t>Meta Ads</t>
        </is>
      </c>
      <c r="E166" t="inlineStr">
        <is>
          <t>Contacted</t>
        </is>
      </c>
    </row>
    <row r="167">
      <c r="A167" t="inlineStr">
        <is>
          <t>L-40263</t>
        </is>
      </c>
      <c r="B167" s="2" t="n">
        <v>46173</v>
      </c>
      <c r="C167" t="inlineStr">
        <is>
          <t>2026-05</t>
        </is>
      </c>
      <c r="D167" t="inlineStr">
        <is>
          <t>Google Ads</t>
        </is>
      </c>
      <c r="E167" t="inlineStr">
        <is>
          <t>Contacted</t>
        </is>
      </c>
    </row>
    <row r="168">
      <c r="A168" t="inlineStr">
        <is>
          <t>L-40422</t>
        </is>
      </c>
      <c r="B168" s="2" t="n">
        <v>46174</v>
      </c>
      <c r="C168" t="inlineStr">
        <is>
          <t>2026-06</t>
        </is>
      </c>
      <c r="D168" t="inlineStr">
        <is>
          <t>LinkedIn Ads</t>
        </is>
      </c>
      <c r="E168" t="inlineStr">
        <is>
          <t>Lost</t>
        </is>
      </c>
    </row>
    <row r="169">
      <c r="A169" t="inlineStr">
        <is>
          <t>L-40423</t>
        </is>
      </c>
      <c r="B169" s="2" t="n">
        <v>46174</v>
      </c>
      <c r="C169" t="inlineStr">
        <is>
          <t>2026-06</t>
        </is>
      </c>
      <c r="D169" t="inlineStr">
        <is>
          <t>LinkedIn Ads</t>
        </is>
      </c>
      <c r="E169" t="inlineStr">
        <is>
          <t>Lost</t>
        </is>
      </c>
    </row>
    <row r="170">
      <c r="A170" t="inlineStr">
        <is>
          <t>L-40302</t>
        </is>
      </c>
      <c r="B170" s="2" t="n">
        <v>46174</v>
      </c>
      <c r="C170" t="inlineStr">
        <is>
          <t>2026-06</t>
        </is>
      </c>
      <c r="D170" t="inlineStr">
        <is>
          <t>Google Ads</t>
        </is>
      </c>
      <c r="E170" t="inlineStr">
        <is>
          <t>Quoted</t>
        </is>
      </c>
    </row>
    <row r="171">
      <c r="A171" t="inlineStr">
        <is>
          <t>L-40401</t>
        </is>
      </c>
      <c r="B171" s="2" t="n">
        <v>46175</v>
      </c>
      <c r="C171" t="inlineStr">
        <is>
          <t>2026-06</t>
        </is>
      </c>
      <c r="D171" t="inlineStr">
        <is>
          <t>Meta Ads</t>
        </is>
      </c>
      <c r="E171" t="inlineStr">
        <is>
          <t>Won</t>
        </is>
      </c>
    </row>
    <row r="172">
      <c r="A172" t="inlineStr">
        <is>
          <t>L-40431</t>
        </is>
      </c>
      <c r="B172" s="2" t="n">
        <v>46175</v>
      </c>
      <c r="C172" t="inlineStr">
        <is>
          <t>2026-06</t>
        </is>
      </c>
      <c r="D172" t="inlineStr">
        <is>
          <t>LinkedIn Ads</t>
        </is>
      </c>
      <c r="E172" t="inlineStr">
        <is>
          <t>Quoted</t>
        </is>
      </c>
    </row>
    <row r="173">
      <c r="A173" t="inlineStr">
        <is>
          <t>L-40323</t>
        </is>
      </c>
      <c r="B173" s="2" t="n">
        <v>46176</v>
      </c>
      <c r="C173" t="inlineStr">
        <is>
          <t>2026-06</t>
        </is>
      </c>
      <c r="D173" t="inlineStr">
        <is>
          <t>Google Ads</t>
        </is>
      </c>
      <c r="E173" t="inlineStr">
        <is>
          <t>Contacted</t>
        </is>
      </c>
    </row>
    <row r="174">
      <c r="A174" t="inlineStr">
        <is>
          <t>L-40398</t>
        </is>
      </c>
      <c r="B174" s="2" t="n">
        <v>46177</v>
      </c>
      <c r="C174" t="inlineStr">
        <is>
          <t>2026-06</t>
        </is>
      </c>
      <c r="D174" t="inlineStr">
        <is>
          <t>Meta Ads</t>
        </is>
      </c>
      <c r="E174" t="inlineStr">
        <is>
          <t>Won</t>
        </is>
      </c>
    </row>
    <row r="175">
      <c r="A175" t="inlineStr">
        <is>
          <t>L-40301</t>
        </is>
      </c>
      <c r="B175" s="2" t="n">
        <v>46178</v>
      </c>
      <c r="C175" t="inlineStr">
        <is>
          <t>2026-06</t>
        </is>
      </c>
      <c r="D175" t="inlineStr">
        <is>
          <t>Google Ads</t>
        </is>
      </c>
      <c r="E175" t="inlineStr">
        <is>
          <t>Quoted</t>
        </is>
      </c>
    </row>
    <row r="176">
      <c r="A176" t="inlineStr">
        <is>
          <t>L-40392</t>
        </is>
      </c>
      <c r="B176" s="2" t="n">
        <v>46178</v>
      </c>
      <c r="C176" t="inlineStr">
        <is>
          <t>2026-06</t>
        </is>
      </c>
      <c r="D176" t="inlineStr">
        <is>
          <t>Meta Ads</t>
        </is>
      </c>
      <c r="E176" t="inlineStr">
        <is>
          <t>Contacted</t>
        </is>
      </c>
    </row>
    <row r="177">
      <c r="A177" t="inlineStr">
        <is>
          <t>L-40326</t>
        </is>
      </c>
      <c r="B177" s="2" t="n">
        <v>46179</v>
      </c>
      <c r="C177" t="inlineStr">
        <is>
          <t>2026-06</t>
        </is>
      </c>
      <c r="D177" t="inlineStr">
        <is>
          <t>Google Ads</t>
        </is>
      </c>
      <c r="E177" t="inlineStr">
        <is>
          <t>Lost</t>
        </is>
      </c>
    </row>
    <row r="178">
      <c r="A178" t="inlineStr">
        <is>
          <t>L-40460</t>
        </is>
      </c>
      <c r="B178" s="2" t="n">
        <v>46179</v>
      </c>
      <c r="C178" t="inlineStr">
        <is>
          <t>2026-06</t>
        </is>
      </c>
      <c r="D178" t="inlineStr">
        <is>
          <t>Yelp Ads</t>
        </is>
      </c>
      <c r="E178" t="inlineStr">
        <is>
          <t>Quoted</t>
        </is>
      </c>
    </row>
    <row r="179">
      <c r="A179" t="inlineStr">
        <is>
          <t>L-40393</t>
        </is>
      </c>
      <c r="B179" s="2" t="n">
        <v>46180</v>
      </c>
      <c r="C179" t="inlineStr">
        <is>
          <t>2026-06</t>
        </is>
      </c>
      <c r="D179" t="inlineStr">
        <is>
          <t>Meta Ads</t>
        </is>
      </c>
      <c r="E179" t="inlineStr">
        <is>
          <t>New</t>
        </is>
      </c>
    </row>
    <row r="180">
      <c r="A180" t="inlineStr">
        <is>
          <t>L-40391</t>
        </is>
      </c>
      <c r="B180" s="2" t="n">
        <v>46180</v>
      </c>
      <c r="C180" t="inlineStr">
        <is>
          <t>2026-06</t>
        </is>
      </c>
      <c r="D180" t="inlineStr">
        <is>
          <t>Meta Ads</t>
        </is>
      </c>
      <c r="E180" t="inlineStr">
        <is>
          <t>Contacted</t>
        </is>
      </c>
    </row>
    <row r="181">
      <c r="A181" t="inlineStr">
        <is>
          <t>L-40298</t>
        </is>
      </c>
      <c r="B181" s="2" t="n">
        <v>46180</v>
      </c>
      <c r="C181" t="inlineStr">
        <is>
          <t>2026-06</t>
        </is>
      </c>
      <c r="D181" t="inlineStr">
        <is>
          <t>Google Ads</t>
        </is>
      </c>
      <c r="E181" t="inlineStr">
        <is>
          <t>Quoted</t>
        </is>
      </c>
    </row>
    <row r="182">
      <c r="A182" t="inlineStr">
        <is>
          <t>L-40316</t>
        </is>
      </c>
      <c r="B182" s="2" t="n">
        <v>46180</v>
      </c>
      <c r="C182" t="inlineStr">
        <is>
          <t>2026-06</t>
        </is>
      </c>
      <c r="D182" t="inlineStr">
        <is>
          <t>Google Ads</t>
        </is>
      </c>
      <c r="E182" t="inlineStr">
        <is>
          <t>Contacted</t>
        </is>
      </c>
    </row>
    <row r="183">
      <c r="A183" t="inlineStr">
        <is>
          <t>L-40465</t>
        </is>
      </c>
      <c r="B183" s="2" t="n">
        <v>46180</v>
      </c>
      <c r="C183" t="inlineStr">
        <is>
          <t>2026-06</t>
        </is>
      </c>
      <c r="D183" t="inlineStr">
        <is>
          <t>Yelp Ads</t>
        </is>
      </c>
      <c r="E183" t="inlineStr">
        <is>
          <t>Quoted</t>
        </is>
      </c>
    </row>
    <row r="184">
      <c r="A184" t="inlineStr">
        <is>
          <t>L-40387</t>
        </is>
      </c>
      <c r="B184" s="2" t="n">
        <v>46181</v>
      </c>
      <c r="C184" t="inlineStr">
        <is>
          <t>2026-06</t>
        </is>
      </c>
      <c r="D184" t="inlineStr">
        <is>
          <t>Meta Ads</t>
        </is>
      </c>
      <c r="E184" t="inlineStr">
        <is>
          <t>Contacted</t>
        </is>
      </c>
    </row>
    <row r="185">
      <c r="A185" t="inlineStr">
        <is>
          <t>L-40295</t>
        </is>
      </c>
      <c r="B185" s="2" t="n">
        <v>46181</v>
      </c>
      <c r="C185" t="inlineStr">
        <is>
          <t>2026-06</t>
        </is>
      </c>
      <c r="D185" t="inlineStr">
        <is>
          <t>Google Ads</t>
        </is>
      </c>
      <c r="E185" t="inlineStr">
        <is>
          <t>Quoted</t>
        </is>
      </c>
    </row>
    <row r="186">
      <c r="A186" t="inlineStr">
        <is>
          <t>L-40458</t>
        </is>
      </c>
      <c r="B186" s="2" t="n">
        <v>46181</v>
      </c>
      <c r="C186" t="inlineStr">
        <is>
          <t>2026-06</t>
        </is>
      </c>
      <c r="D186" t="inlineStr">
        <is>
          <t>Yelp Ads</t>
        </is>
      </c>
      <c r="E186" t="inlineStr">
        <is>
          <t>Won</t>
        </is>
      </c>
    </row>
    <row r="187">
      <c r="A187" t="inlineStr">
        <is>
          <t>L-40304</t>
        </is>
      </c>
      <c r="B187" s="2" t="n">
        <v>46181</v>
      </c>
      <c r="C187" t="inlineStr">
        <is>
          <t>2026-06</t>
        </is>
      </c>
      <c r="D187" t="inlineStr">
        <is>
          <t>Google Ads</t>
        </is>
      </c>
      <c r="E187" t="inlineStr">
        <is>
          <t>Quoted</t>
        </is>
      </c>
    </row>
    <row r="188">
      <c r="A188" t="inlineStr">
        <is>
          <t>L-40461</t>
        </is>
      </c>
      <c r="B188" s="2" t="n">
        <v>46182</v>
      </c>
      <c r="C188" t="inlineStr">
        <is>
          <t>2026-06</t>
        </is>
      </c>
      <c r="D188" t="inlineStr">
        <is>
          <t>Yelp Ads</t>
        </is>
      </c>
      <c r="E188" t="inlineStr">
        <is>
          <t>Lost</t>
        </is>
      </c>
    </row>
    <row r="189">
      <c r="A189" t="inlineStr">
        <is>
          <t>L-40320</t>
        </is>
      </c>
      <c r="B189" s="2" t="n">
        <v>46182</v>
      </c>
      <c r="C189" t="inlineStr">
        <is>
          <t>2026-06</t>
        </is>
      </c>
      <c r="D189" t="inlineStr">
        <is>
          <t>Google Ads</t>
        </is>
      </c>
      <c r="E189" t="inlineStr">
        <is>
          <t>New</t>
        </is>
      </c>
    </row>
    <row r="190">
      <c r="A190" t="inlineStr">
        <is>
          <t>L-40484</t>
        </is>
      </c>
      <c r="B190" s="2" t="n">
        <v>46182</v>
      </c>
      <c r="C190" t="inlineStr">
        <is>
          <t>2026-06</t>
        </is>
      </c>
      <c r="D190" t="inlineStr">
        <is>
          <t>Nextdoor</t>
        </is>
      </c>
      <c r="E190" t="inlineStr">
        <is>
          <t>Won</t>
        </is>
      </c>
    </row>
    <row r="191">
      <c r="A191" t="inlineStr">
        <is>
          <t>L-40315</t>
        </is>
      </c>
      <c r="B191" s="2" t="n">
        <v>46182</v>
      </c>
      <c r="C191" t="inlineStr">
        <is>
          <t>2026-06</t>
        </is>
      </c>
      <c r="D191" t="inlineStr">
        <is>
          <t>Google Ads</t>
        </is>
      </c>
      <c r="E191" t="inlineStr">
        <is>
          <t>Lost</t>
        </is>
      </c>
    </row>
    <row r="192">
      <c r="A192" t="inlineStr">
        <is>
          <t>L-40430</t>
        </is>
      </c>
      <c r="B192" s="2" t="n">
        <v>46183</v>
      </c>
      <c r="C192" t="inlineStr">
        <is>
          <t>2026-06</t>
        </is>
      </c>
      <c r="D192" t="inlineStr">
        <is>
          <t>LinkedIn Ads</t>
        </is>
      </c>
      <c r="E192" t="inlineStr">
        <is>
          <t>Contacted</t>
        </is>
      </c>
    </row>
    <row r="193">
      <c r="A193" t="inlineStr">
        <is>
          <t>L-40312</t>
        </is>
      </c>
      <c r="B193" s="2" t="n">
        <v>46183</v>
      </c>
      <c r="C193" t="inlineStr">
        <is>
          <t>2026-06</t>
        </is>
      </c>
      <c r="D193" t="inlineStr">
        <is>
          <t>Google Ads</t>
        </is>
      </c>
      <c r="E193" t="inlineStr">
        <is>
          <t>Contacted</t>
        </is>
      </c>
    </row>
    <row r="194">
      <c r="A194" t="inlineStr">
        <is>
          <t>L-40307</t>
        </is>
      </c>
      <c r="B194" s="2" t="n">
        <v>46184</v>
      </c>
      <c r="C194" t="inlineStr">
        <is>
          <t>2026-06</t>
        </is>
      </c>
      <c r="D194" t="inlineStr">
        <is>
          <t>Google Ads</t>
        </is>
      </c>
      <c r="E194" t="inlineStr">
        <is>
          <t>Lost</t>
        </is>
      </c>
    </row>
    <row r="195">
      <c r="A195" t="inlineStr">
        <is>
          <t>L-40324</t>
        </is>
      </c>
      <c r="B195" s="2" t="n">
        <v>46184</v>
      </c>
      <c r="C195" t="inlineStr">
        <is>
          <t>2026-06</t>
        </is>
      </c>
      <c r="D195" t="inlineStr">
        <is>
          <t>Google Ads</t>
        </is>
      </c>
      <c r="E195" t="inlineStr">
        <is>
          <t>Lost</t>
        </is>
      </c>
    </row>
    <row r="196">
      <c r="A196" t="inlineStr">
        <is>
          <t>L-40383</t>
        </is>
      </c>
      <c r="B196" s="2" t="n">
        <v>46184</v>
      </c>
      <c r="C196" t="inlineStr">
        <is>
          <t>2026-06</t>
        </is>
      </c>
      <c r="D196" t="inlineStr">
        <is>
          <t>Meta Ads</t>
        </is>
      </c>
      <c r="E196" t="inlineStr">
        <is>
          <t>Won</t>
        </is>
      </c>
    </row>
    <row r="197">
      <c r="A197" t="inlineStr">
        <is>
          <t>L-40425</t>
        </is>
      </c>
      <c r="B197" s="2" t="n">
        <v>46184</v>
      </c>
      <c r="C197" t="inlineStr">
        <is>
          <t>2026-06</t>
        </is>
      </c>
      <c r="D197" t="inlineStr">
        <is>
          <t>LinkedIn Ads</t>
        </is>
      </c>
      <c r="E197" t="inlineStr">
        <is>
          <t>Contacted</t>
        </is>
      </c>
    </row>
    <row r="198">
      <c r="A198" t="inlineStr">
        <is>
          <t>L-40380</t>
        </is>
      </c>
      <c r="B198" s="2" t="n">
        <v>46185</v>
      </c>
      <c r="C198" t="inlineStr">
        <is>
          <t>2026-06</t>
        </is>
      </c>
      <c r="D198" t="inlineStr">
        <is>
          <t>Meta Ads</t>
        </is>
      </c>
      <c r="E198" t="inlineStr">
        <is>
          <t>New</t>
        </is>
      </c>
    </row>
    <row r="199">
      <c r="A199" t="inlineStr">
        <is>
          <t>L-40459</t>
        </is>
      </c>
      <c r="B199" s="2" t="n">
        <v>46185</v>
      </c>
      <c r="C199" t="inlineStr">
        <is>
          <t>2026-06</t>
        </is>
      </c>
      <c r="D199" t="inlineStr">
        <is>
          <t>Yelp Ads</t>
        </is>
      </c>
      <c r="E199" t="inlineStr">
        <is>
          <t>Won</t>
        </is>
      </c>
    </row>
    <row r="200">
      <c r="A200" t="inlineStr">
        <is>
          <t>L-40303</t>
        </is>
      </c>
      <c r="B200" s="2" t="n">
        <v>46186</v>
      </c>
      <c r="C200" t="inlineStr">
        <is>
          <t>2026-06</t>
        </is>
      </c>
      <c r="D200" t="inlineStr">
        <is>
          <t>Google Ads</t>
        </is>
      </c>
      <c r="E200" t="inlineStr">
        <is>
          <t>Quoted</t>
        </is>
      </c>
    </row>
    <row r="201">
      <c r="A201" t="inlineStr">
        <is>
          <t>L-40384</t>
        </is>
      </c>
      <c r="B201" s="2" t="n">
        <v>46186</v>
      </c>
      <c r="C201" t="inlineStr">
        <is>
          <t>2026-06</t>
        </is>
      </c>
      <c r="D201" t="inlineStr">
        <is>
          <t>Meta Ads</t>
        </is>
      </c>
      <c r="E201" t="inlineStr">
        <is>
          <t>Won</t>
        </is>
      </c>
    </row>
    <row r="202">
      <c r="A202" t="inlineStr">
        <is>
          <t>L-40381</t>
        </is>
      </c>
      <c r="B202" s="2" t="n">
        <v>46187</v>
      </c>
      <c r="C202" t="inlineStr">
        <is>
          <t>2026-06</t>
        </is>
      </c>
      <c r="D202" t="inlineStr">
        <is>
          <t>Meta Ads</t>
        </is>
      </c>
      <c r="E202" t="inlineStr">
        <is>
          <t>Quoted</t>
        </is>
      </c>
    </row>
    <row r="203">
      <c r="A203" t="inlineStr">
        <is>
          <t>L-40426</t>
        </is>
      </c>
      <c r="B203" s="2" t="n">
        <v>46187</v>
      </c>
      <c r="C203" t="inlineStr">
        <is>
          <t>2026-06</t>
        </is>
      </c>
      <c r="D203" t="inlineStr">
        <is>
          <t>LinkedIn Ads</t>
        </is>
      </c>
      <c r="E203" t="inlineStr">
        <is>
          <t>Contacted</t>
        </is>
      </c>
    </row>
    <row r="204">
      <c r="A204" t="inlineStr">
        <is>
          <t>L-40429</t>
        </is>
      </c>
      <c r="B204" s="2" t="n">
        <v>46187</v>
      </c>
      <c r="C204" t="inlineStr">
        <is>
          <t>2026-06</t>
        </is>
      </c>
      <c r="D204" t="inlineStr">
        <is>
          <t>LinkedIn Ads</t>
        </is>
      </c>
      <c r="E204" t="inlineStr">
        <is>
          <t>Contacted</t>
        </is>
      </c>
    </row>
    <row r="205">
      <c r="A205" t="inlineStr">
        <is>
          <t>L-40389</t>
        </is>
      </c>
      <c r="B205" s="2" t="n">
        <v>46188</v>
      </c>
      <c r="C205" t="inlineStr">
        <is>
          <t>2026-06</t>
        </is>
      </c>
      <c r="D205" t="inlineStr">
        <is>
          <t>Meta Ads</t>
        </is>
      </c>
      <c r="E205" t="inlineStr">
        <is>
          <t>Contacted</t>
        </is>
      </c>
    </row>
    <row r="206">
      <c r="A206" t="inlineStr">
        <is>
          <t>L-40386</t>
        </is>
      </c>
      <c r="B206" s="2" t="n">
        <v>46188</v>
      </c>
      <c r="C206" t="inlineStr">
        <is>
          <t>2026-06</t>
        </is>
      </c>
      <c r="D206" t="inlineStr">
        <is>
          <t>Meta Ads</t>
        </is>
      </c>
      <c r="E206" t="inlineStr">
        <is>
          <t>Won</t>
        </is>
      </c>
    </row>
    <row r="207">
      <c r="A207" t="inlineStr">
        <is>
          <t>L-40313</t>
        </is>
      </c>
      <c r="B207" s="2" t="n">
        <v>46188</v>
      </c>
      <c r="C207" t="inlineStr">
        <is>
          <t>2026-06</t>
        </is>
      </c>
      <c r="D207" t="inlineStr">
        <is>
          <t>Google Ads</t>
        </is>
      </c>
      <c r="E207" t="inlineStr">
        <is>
          <t>Lost</t>
        </is>
      </c>
    </row>
    <row r="208">
      <c r="A208" t="inlineStr">
        <is>
          <t>L-40300</t>
        </is>
      </c>
      <c r="B208" s="2" t="n">
        <v>46189</v>
      </c>
      <c r="C208" t="inlineStr">
        <is>
          <t>2026-06</t>
        </is>
      </c>
      <c r="D208" t="inlineStr">
        <is>
          <t>Google Ads</t>
        </is>
      </c>
      <c r="E208" t="inlineStr">
        <is>
          <t>Lost</t>
        </is>
      </c>
    </row>
    <row r="209">
      <c r="A209" t="inlineStr">
        <is>
          <t>L-40306</t>
        </is>
      </c>
      <c r="B209" s="2" t="n">
        <v>46189</v>
      </c>
      <c r="C209" t="inlineStr">
        <is>
          <t>2026-06</t>
        </is>
      </c>
      <c r="D209" t="inlineStr">
        <is>
          <t>Google Ads</t>
        </is>
      </c>
      <c r="E209" t="inlineStr">
        <is>
          <t>Won</t>
        </is>
      </c>
    </row>
    <row r="210">
      <c r="A210" t="inlineStr">
        <is>
          <t>L-40456</t>
        </is>
      </c>
      <c r="B210" s="2" t="n">
        <v>46189</v>
      </c>
      <c r="C210" t="inlineStr">
        <is>
          <t>2026-06</t>
        </is>
      </c>
      <c r="D210" t="inlineStr">
        <is>
          <t>Yelp Ads</t>
        </is>
      </c>
      <c r="E210" t="inlineStr">
        <is>
          <t>Lost</t>
        </is>
      </c>
    </row>
    <row r="211">
      <c r="A211" t="inlineStr">
        <is>
          <t>L-40463</t>
        </is>
      </c>
      <c r="B211" s="2" t="n">
        <v>46190</v>
      </c>
      <c r="C211" t="inlineStr">
        <is>
          <t>2026-06</t>
        </is>
      </c>
      <c r="D211" t="inlineStr">
        <is>
          <t>Yelp Ads</t>
        </is>
      </c>
      <c r="E211" t="inlineStr">
        <is>
          <t>Contacted</t>
        </is>
      </c>
    </row>
    <row r="212">
      <c r="A212" t="inlineStr">
        <is>
          <t>L-40296</t>
        </is>
      </c>
      <c r="B212" s="2" t="n">
        <v>46190</v>
      </c>
      <c r="C212" t="inlineStr">
        <is>
          <t>2026-06</t>
        </is>
      </c>
      <c r="D212" t="inlineStr">
        <is>
          <t>Google Ads</t>
        </is>
      </c>
      <c r="E212" t="inlineStr">
        <is>
          <t>Quoted</t>
        </is>
      </c>
    </row>
    <row r="213">
      <c r="A213" t="inlineStr">
        <is>
          <t>L-40483</t>
        </is>
      </c>
      <c r="B213" s="2" t="n">
        <v>46190</v>
      </c>
      <c r="C213" t="inlineStr">
        <is>
          <t>2026-06</t>
        </is>
      </c>
      <c r="D213" t="inlineStr">
        <is>
          <t>Nextdoor</t>
        </is>
      </c>
      <c r="E213" t="inlineStr">
        <is>
          <t>Quoted</t>
        </is>
      </c>
    </row>
    <row r="214">
      <c r="A214" t="inlineStr">
        <is>
          <t>L-40399</t>
        </is>
      </c>
      <c r="B214" s="2" t="n">
        <v>46190</v>
      </c>
      <c r="C214" t="inlineStr">
        <is>
          <t>2026-06</t>
        </is>
      </c>
      <c r="D214" t="inlineStr">
        <is>
          <t>Meta Ads</t>
        </is>
      </c>
      <c r="E214" t="inlineStr">
        <is>
          <t>Lost</t>
        </is>
      </c>
    </row>
    <row r="215">
      <c r="A215" t="inlineStr">
        <is>
          <t>L-40314</t>
        </is>
      </c>
      <c r="B215" s="2" t="n">
        <v>46191</v>
      </c>
      <c r="C215" t="inlineStr">
        <is>
          <t>2026-06</t>
        </is>
      </c>
      <c r="D215" t="inlineStr">
        <is>
          <t>Google Ads</t>
        </is>
      </c>
      <c r="E215" t="inlineStr">
        <is>
          <t>Quoted</t>
        </is>
      </c>
    </row>
    <row r="216">
      <c r="A216" t="inlineStr">
        <is>
          <t>L-40294</t>
        </is>
      </c>
      <c r="B216" s="2" t="n">
        <v>46192</v>
      </c>
      <c r="C216" t="inlineStr">
        <is>
          <t>2026-06</t>
        </is>
      </c>
      <c r="D216" t="inlineStr">
        <is>
          <t>Google Ads</t>
        </is>
      </c>
      <c r="E216" t="inlineStr">
        <is>
          <t>Contacted</t>
        </is>
      </c>
    </row>
    <row r="217">
      <c r="A217" t="inlineStr">
        <is>
          <t>L-40396</t>
        </is>
      </c>
      <c r="B217" s="2" t="n">
        <v>46192</v>
      </c>
      <c r="C217" t="inlineStr">
        <is>
          <t>2026-06</t>
        </is>
      </c>
      <c r="D217" t="inlineStr">
        <is>
          <t>Meta Ads</t>
        </is>
      </c>
      <c r="E217" t="inlineStr">
        <is>
          <t>Lost</t>
        </is>
      </c>
    </row>
    <row r="218">
      <c r="A218" t="inlineStr">
        <is>
          <t>L-40397</t>
        </is>
      </c>
      <c r="B218" s="2" t="n">
        <v>46193</v>
      </c>
      <c r="C218" t="inlineStr">
        <is>
          <t>2026-06</t>
        </is>
      </c>
      <c r="D218" t="inlineStr">
        <is>
          <t>Meta Ads</t>
        </is>
      </c>
      <c r="E218" t="inlineStr">
        <is>
          <t>Won</t>
        </is>
      </c>
    </row>
    <row r="219">
      <c r="A219" t="inlineStr">
        <is>
          <t>L-40402</t>
        </is>
      </c>
      <c r="B219" s="2" t="n">
        <v>46193</v>
      </c>
      <c r="C219" t="inlineStr">
        <is>
          <t>2026-06</t>
        </is>
      </c>
      <c r="D219" t="inlineStr">
        <is>
          <t>Meta Ads</t>
        </is>
      </c>
      <c r="E219" t="inlineStr">
        <is>
          <t>Lost</t>
        </is>
      </c>
    </row>
    <row r="220">
      <c r="A220" t="inlineStr">
        <is>
          <t>L-40305</t>
        </is>
      </c>
      <c r="B220" s="2" t="n">
        <v>46193</v>
      </c>
      <c r="C220" t="inlineStr">
        <is>
          <t>2026-06</t>
        </is>
      </c>
      <c r="D220" t="inlineStr">
        <is>
          <t>Google Ads</t>
        </is>
      </c>
      <c r="E220" t="inlineStr">
        <is>
          <t>Lost</t>
        </is>
      </c>
    </row>
    <row r="221">
      <c r="A221" t="inlineStr">
        <is>
          <t>L-40400</t>
        </is>
      </c>
      <c r="B221" s="2" t="n">
        <v>46193</v>
      </c>
      <c r="C221" t="inlineStr">
        <is>
          <t>2026-06</t>
        </is>
      </c>
      <c r="D221" t="inlineStr">
        <is>
          <t>Meta Ads</t>
        </is>
      </c>
      <c r="E221" t="inlineStr">
        <is>
          <t>Contacted</t>
        </is>
      </c>
    </row>
    <row r="222">
      <c r="A222" t="inlineStr">
        <is>
          <t>L-40328</t>
        </is>
      </c>
      <c r="B222" s="2" t="n">
        <v>46194</v>
      </c>
      <c r="C222" t="inlineStr">
        <is>
          <t>2026-06</t>
        </is>
      </c>
      <c r="D222" t="inlineStr">
        <is>
          <t>Google Ads</t>
        </is>
      </c>
      <c r="E222" t="inlineStr">
        <is>
          <t>Quoted</t>
        </is>
      </c>
    </row>
    <row r="223">
      <c r="A223" t="inlineStr">
        <is>
          <t>L-40388</t>
        </is>
      </c>
      <c r="B223" s="2" t="n">
        <v>46194</v>
      </c>
      <c r="C223" t="inlineStr">
        <is>
          <t>2026-06</t>
        </is>
      </c>
      <c r="D223" t="inlineStr">
        <is>
          <t>Meta Ads</t>
        </is>
      </c>
      <c r="E223" t="inlineStr">
        <is>
          <t>Quoted</t>
        </is>
      </c>
    </row>
    <row r="224">
      <c r="A224" t="inlineStr">
        <is>
          <t>L-40317</t>
        </is>
      </c>
      <c r="B224" s="2" t="n">
        <v>46194</v>
      </c>
      <c r="C224" t="inlineStr">
        <is>
          <t>2026-06</t>
        </is>
      </c>
      <c r="D224" t="inlineStr">
        <is>
          <t>Google Ads</t>
        </is>
      </c>
      <c r="E224" t="inlineStr">
        <is>
          <t>Won</t>
        </is>
      </c>
    </row>
    <row r="225">
      <c r="A225" t="inlineStr">
        <is>
          <t>L-40292</t>
        </is>
      </c>
      <c r="B225" s="2" t="n">
        <v>46194</v>
      </c>
      <c r="C225" t="inlineStr">
        <is>
          <t>2026-06</t>
        </is>
      </c>
      <c r="D225" t="inlineStr">
        <is>
          <t>Google Ads</t>
        </is>
      </c>
      <c r="E225" t="inlineStr">
        <is>
          <t>Lost</t>
        </is>
      </c>
    </row>
    <row r="226">
      <c r="A226" t="inlineStr">
        <is>
          <t>L-40481</t>
        </is>
      </c>
      <c r="B226" s="2" t="n">
        <v>46194</v>
      </c>
      <c r="C226" t="inlineStr">
        <is>
          <t>2026-06</t>
        </is>
      </c>
      <c r="D226" t="inlineStr">
        <is>
          <t>Nextdoor</t>
        </is>
      </c>
      <c r="E226" t="inlineStr">
        <is>
          <t>Contacted</t>
        </is>
      </c>
    </row>
    <row r="227">
      <c r="A227" t="inlineStr">
        <is>
          <t>L-40299</t>
        </is>
      </c>
      <c r="B227" s="2" t="n">
        <v>46195</v>
      </c>
      <c r="C227" t="inlineStr">
        <is>
          <t>2026-06</t>
        </is>
      </c>
      <c r="D227" t="inlineStr">
        <is>
          <t>Google Ads</t>
        </is>
      </c>
      <c r="E227" t="inlineStr">
        <is>
          <t>New</t>
        </is>
      </c>
    </row>
    <row r="228">
      <c r="A228" t="inlineStr">
        <is>
          <t>L-40293</t>
        </is>
      </c>
      <c r="B228" s="2" t="n">
        <v>46195</v>
      </c>
      <c r="C228" t="inlineStr">
        <is>
          <t>2026-06</t>
        </is>
      </c>
      <c r="D228" t="inlineStr">
        <is>
          <t>Google Ads</t>
        </is>
      </c>
      <c r="E228" t="inlineStr">
        <is>
          <t>Quoted</t>
        </is>
      </c>
    </row>
    <row r="229">
      <c r="A229" t="inlineStr">
        <is>
          <t>L-40427</t>
        </is>
      </c>
      <c r="B229" s="2" t="n">
        <v>46196</v>
      </c>
      <c r="C229" t="inlineStr">
        <is>
          <t>2026-06</t>
        </is>
      </c>
      <c r="D229" t="inlineStr">
        <is>
          <t>LinkedIn Ads</t>
        </is>
      </c>
      <c r="E229" t="inlineStr">
        <is>
          <t>Lost</t>
        </is>
      </c>
    </row>
    <row r="230">
      <c r="A230" t="inlineStr">
        <is>
          <t>L-40329</t>
        </is>
      </c>
      <c r="B230" s="2" t="n">
        <v>46196</v>
      </c>
      <c r="C230" t="inlineStr">
        <is>
          <t>2026-06</t>
        </is>
      </c>
      <c r="D230" t="inlineStr">
        <is>
          <t>Google Ads</t>
        </is>
      </c>
      <c r="E230" t="inlineStr">
        <is>
          <t>New</t>
        </is>
      </c>
    </row>
    <row r="231">
      <c r="A231" t="inlineStr">
        <is>
          <t>L-40297</t>
        </is>
      </c>
      <c r="B231" s="2" t="n">
        <v>46196</v>
      </c>
      <c r="C231" t="inlineStr">
        <is>
          <t>2026-06</t>
        </is>
      </c>
      <c r="D231" t="inlineStr">
        <is>
          <t>Google Ads</t>
        </is>
      </c>
      <c r="E231" t="inlineStr">
        <is>
          <t>Won</t>
        </is>
      </c>
    </row>
    <row r="232">
      <c r="A232" t="inlineStr">
        <is>
          <t>L-40424</t>
        </is>
      </c>
      <c r="B232" s="2" t="n">
        <v>46196</v>
      </c>
      <c r="C232" t="inlineStr">
        <is>
          <t>2026-06</t>
        </is>
      </c>
      <c r="D232" t="inlineStr">
        <is>
          <t>LinkedIn Ads</t>
        </is>
      </c>
      <c r="E232" t="inlineStr">
        <is>
          <t>Lost</t>
        </is>
      </c>
    </row>
    <row r="233">
      <c r="A233" t="inlineStr">
        <is>
          <t>L-40319</t>
        </is>
      </c>
      <c r="B233" s="2" t="n">
        <v>46197</v>
      </c>
      <c r="C233" t="inlineStr">
        <is>
          <t>2026-06</t>
        </is>
      </c>
      <c r="D233" t="inlineStr">
        <is>
          <t>Google Ads</t>
        </is>
      </c>
      <c r="E233" t="inlineStr">
        <is>
          <t>Quoted</t>
        </is>
      </c>
    </row>
    <row r="234">
      <c r="A234" t="inlineStr">
        <is>
          <t>L-40464</t>
        </is>
      </c>
      <c r="B234" s="2" t="n">
        <v>46197</v>
      </c>
      <c r="C234" t="inlineStr">
        <is>
          <t>2026-06</t>
        </is>
      </c>
      <c r="D234" t="inlineStr">
        <is>
          <t>Yelp Ads</t>
        </is>
      </c>
      <c r="E234" t="inlineStr">
        <is>
          <t>Contacted</t>
        </is>
      </c>
    </row>
    <row r="235">
      <c r="A235" t="inlineStr">
        <is>
          <t>L-40318</t>
        </is>
      </c>
      <c r="B235" s="2" t="n">
        <v>46197</v>
      </c>
      <c r="C235" t="inlineStr">
        <is>
          <t>2026-06</t>
        </is>
      </c>
      <c r="D235" t="inlineStr">
        <is>
          <t>Google Ads</t>
        </is>
      </c>
      <c r="E235" t="inlineStr">
        <is>
          <t>Contacted</t>
        </is>
      </c>
    </row>
    <row r="236">
      <c r="A236" t="inlineStr">
        <is>
          <t>L-40309</t>
        </is>
      </c>
      <c r="B236" s="2" t="n">
        <v>46197</v>
      </c>
      <c r="C236" t="inlineStr">
        <is>
          <t>2026-06</t>
        </is>
      </c>
      <c r="D236" t="inlineStr">
        <is>
          <t>Google Ads</t>
        </is>
      </c>
      <c r="E236" t="inlineStr">
        <is>
          <t>Lost</t>
        </is>
      </c>
    </row>
    <row r="237">
      <c r="A237" t="inlineStr">
        <is>
          <t>L-40395</t>
        </is>
      </c>
      <c r="B237" s="2" t="n">
        <v>46197</v>
      </c>
      <c r="C237" t="inlineStr">
        <is>
          <t>2026-06</t>
        </is>
      </c>
      <c r="D237" t="inlineStr">
        <is>
          <t>Meta Ads</t>
        </is>
      </c>
      <c r="E237" t="inlineStr">
        <is>
          <t>Contacted</t>
        </is>
      </c>
    </row>
    <row r="238">
      <c r="A238" t="inlineStr">
        <is>
          <t>L-40321</t>
        </is>
      </c>
      <c r="B238" s="2" t="n">
        <v>46198</v>
      </c>
      <c r="C238" t="inlineStr">
        <is>
          <t>2026-06</t>
        </is>
      </c>
      <c r="D238" t="inlineStr">
        <is>
          <t>Google Ads</t>
        </is>
      </c>
      <c r="E238" t="inlineStr">
        <is>
          <t>Contacted</t>
        </is>
      </c>
    </row>
    <row r="239">
      <c r="A239" t="inlineStr">
        <is>
          <t>L-40327</t>
        </is>
      </c>
      <c r="B239" s="2" t="n">
        <v>46199</v>
      </c>
      <c r="C239" t="inlineStr">
        <is>
          <t>2026-06</t>
        </is>
      </c>
      <c r="D239" t="inlineStr">
        <is>
          <t>Google Ads</t>
        </is>
      </c>
      <c r="E239" t="inlineStr">
        <is>
          <t>Quoted</t>
        </is>
      </c>
    </row>
    <row r="240">
      <c r="A240" t="inlineStr">
        <is>
          <t>L-40404</t>
        </is>
      </c>
      <c r="B240" s="2" t="n">
        <v>46199</v>
      </c>
      <c r="C240" t="inlineStr">
        <is>
          <t>2026-06</t>
        </is>
      </c>
      <c r="D240" t="inlineStr">
        <is>
          <t>Meta Ads</t>
        </is>
      </c>
      <c r="E240" t="inlineStr">
        <is>
          <t>Contacted</t>
        </is>
      </c>
    </row>
    <row r="241">
      <c r="A241" t="inlineStr">
        <is>
          <t>L-40457</t>
        </is>
      </c>
      <c r="B241" s="2" t="n">
        <v>46200</v>
      </c>
      <c r="C241" t="inlineStr">
        <is>
          <t>2026-06</t>
        </is>
      </c>
      <c r="D241" t="inlineStr">
        <is>
          <t>Yelp Ads</t>
        </is>
      </c>
      <c r="E241" t="inlineStr">
        <is>
          <t>Quoted</t>
        </is>
      </c>
    </row>
    <row r="242">
      <c r="A242" t="inlineStr">
        <is>
          <t>L-40462</t>
        </is>
      </c>
      <c r="B242" s="2" t="n">
        <v>46200</v>
      </c>
      <c r="C242" t="inlineStr">
        <is>
          <t>2026-06</t>
        </is>
      </c>
      <c r="D242" t="inlineStr">
        <is>
          <t>Yelp Ads</t>
        </is>
      </c>
      <c r="E242" t="inlineStr">
        <is>
          <t>Quoted</t>
        </is>
      </c>
    </row>
    <row r="243">
      <c r="A243" t="inlineStr">
        <is>
          <t>L-40322</t>
        </is>
      </c>
      <c r="B243" s="2" t="n">
        <v>46200</v>
      </c>
      <c r="C243" t="inlineStr">
        <is>
          <t>2026-06</t>
        </is>
      </c>
      <c r="D243" t="inlineStr">
        <is>
          <t>Google Ads</t>
        </is>
      </c>
      <c r="E243" t="inlineStr">
        <is>
          <t>New</t>
        </is>
      </c>
    </row>
    <row r="244">
      <c r="A244" t="inlineStr">
        <is>
          <t>L-40403</t>
        </is>
      </c>
      <c r="B244" s="2" t="n">
        <v>46200</v>
      </c>
      <c r="C244" t="inlineStr">
        <is>
          <t>2026-06</t>
        </is>
      </c>
      <c r="D244" t="inlineStr">
        <is>
          <t>Meta Ads</t>
        </is>
      </c>
      <c r="E244" t="inlineStr">
        <is>
          <t>New</t>
        </is>
      </c>
    </row>
    <row r="245">
      <c r="A245" t="inlineStr">
        <is>
          <t>L-40310</t>
        </is>
      </c>
      <c r="B245" s="2" t="n">
        <v>46200</v>
      </c>
      <c r="C245" t="inlineStr">
        <is>
          <t>2026-06</t>
        </is>
      </c>
      <c r="D245" t="inlineStr">
        <is>
          <t>Google Ads</t>
        </is>
      </c>
      <c r="E245" t="inlineStr">
        <is>
          <t>Won</t>
        </is>
      </c>
    </row>
    <row r="246">
      <c r="A246" t="inlineStr">
        <is>
          <t>L-40482</t>
        </is>
      </c>
      <c r="B246" s="2" t="n">
        <v>46200</v>
      </c>
      <c r="C246" t="inlineStr">
        <is>
          <t>2026-06</t>
        </is>
      </c>
      <c r="D246" t="inlineStr">
        <is>
          <t>Nextdoor</t>
        </is>
      </c>
      <c r="E246" t="inlineStr">
        <is>
          <t>Lost</t>
        </is>
      </c>
    </row>
    <row r="247">
      <c r="A247" t="inlineStr">
        <is>
          <t>L-40325</t>
        </is>
      </c>
      <c r="B247" s="2" t="n">
        <v>46201</v>
      </c>
      <c r="C247" t="inlineStr">
        <is>
          <t>2026-06</t>
        </is>
      </c>
      <c r="D247" t="inlineStr">
        <is>
          <t>Google Ads</t>
        </is>
      </c>
      <c r="E247" t="inlineStr">
        <is>
          <t>Quoted</t>
        </is>
      </c>
    </row>
    <row r="248">
      <c r="A248" t="inlineStr">
        <is>
          <t>L-40394</t>
        </is>
      </c>
      <c r="B248" s="2" t="n">
        <v>46201</v>
      </c>
      <c r="C248" t="inlineStr">
        <is>
          <t>2026-06</t>
        </is>
      </c>
      <c r="D248" t="inlineStr">
        <is>
          <t>Meta Ads</t>
        </is>
      </c>
      <c r="E248" t="inlineStr">
        <is>
          <t>Quoted</t>
        </is>
      </c>
    </row>
    <row r="249">
      <c r="A249" t="inlineStr">
        <is>
          <t>L-40428</t>
        </is>
      </c>
      <c r="B249" s="2" t="n">
        <v>46202</v>
      </c>
      <c r="C249" t="inlineStr">
        <is>
          <t>2026-06</t>
        </is>
      </c>
      <c r="D249" t="inlineStr">
        <is>
          <t>LinkedIn Ads</t>
        </is>
      </c>
      <c r="E249" t="inlineStr">
        <is>
          <t>Contacted</t>
        </is>
      </c>
    </row>
    <row r="250">
      <c r="A250" t="inlineStr">
        <is>
          <t>L-40382</t>
        </is>
      </c>
      <c r="B250" s="2" t="n">
        <v>46203</v>
      </c>
      <c r="C250" t="inlineStr">
        <is>
          <t>2026-06</t>
        </is>
      </c>
      <c r="D250" t="inlineStr">
        <is>
          <t>Meta Ads</t>
        </is>
      </c>
      <c r="E250" t="inlineStr">
        <is>
          <t>Contacted</t>
        </is>
      </c>
    </row>
    <row r="251">
      <c r="A251" t="inlineStr">
        <is>
          <t>L-40390</t>
        </is>
      </c>
      <c r="B251" s="2" t="n">
        <v>46203</v>
      </c>
      <c r="C251" t="inlineStr">
        <is>
          <t>2026-06</t>
        </is>
      </c>
      <c r="D251" t="inlineStr">
        <is>
          <t>Meta Ads</t>
        </is>
      </c>
      <c r="E251" t="inlineStr">
        <is>
          <t>Lost</t>
        </is>
      </c>
    </row>
    <row r="252">
      <c r="A252" t="inlineStr">
        <is>
          <t>L-40385</t>
        </is>
      </c>
      <c r="B252" s="2" t="n">
        <v>46203</v>
      </c>
      <c r="C252" t="inlineStr">
        <is>
          <t>2026-06</t>
        </is>
      </c>
      <c r="D252" t="inlineStr">
        <is>
          <t>Meta Ads</t>
        </is>
      </c>
      <c r="E252" t="inlineStr">
        <is>
          <t>Quoted</t>
        </is>
      </c>
    </row>
    <row r="253">
      <c r="A253" t="inlineStr">
        <is>
          <t>L-40308</t>
        </is>
      </c>
      <c r="B253" s="2" t="n">
        <v>46203</v>
      </c>
      <c r="C253" t="inlineStr">
        <is>
          <t>2026-06</t>
        </is>
      </c>
      <c r="D253" t="inlineStr">
        <is>
          <t>Google Ads</t>
        </is>
      </c>
      <c r="E253" t="inlineStr">
        <is>
          <t>Lost</t>
        </is>
      </c>
    </row>
    <row r="254">
      <c r="A254" t="inlineStr">
        <is>
          <t>L-40311</t>
        </is>
      </c>
      <c r="B254" s="2" t="n">
        <v>46203</v>
      </c>
      <c r="C254" t="inlineStr">
        <is>
          <t>2026-06</t>
        </is>
      </c>
      <c r="D254" t="inlineStr">
        <is>
          <t>Google Ads</t>
        </is>
      </c>
      <c r="E25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