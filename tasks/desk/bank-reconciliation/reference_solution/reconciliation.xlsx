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Outstanding items" sheetId="2" state="visible" r:id="rId2"/>
    <sheet name="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Westbrook Plumbing - bank reconciliation, checking 1010, 31 August 2026</t>
        </is>
      </c>
    </row>
    <row r="3">
      <c r="A3" t="inlineStr">
        <is>
          <t>Balance per bank statement, 31 Aug 2026</t>
        </is>
      </c>
      <c r="B3" t="n">
        <v>24873.38</v>
      </c>
    </row>
    <row r="4">
      <c r="A4" t="inlineStr">
        <is>
          <t>Add: deposits in transit</t>
        </is>
      </c>
      <c r="B4">
        <f>'Outstanding items'!D12</f>
        <v/>
      </c>
    </row>
    <row r="5">
      <c r="A5" t="inlineStr">
        <is>
          <t>Less: outstanding checks</t>
        </is>
      </c>
      <c r="B5">
        <f>'Outstanding items'!D7</f>
        <v/>
      </c>
    </row>
    <row r="6">
      <c r="A6" t="inlineStr">
        <is>
          <t>Adjusted bank balance</t>
        </is>
      </c>
      <c r="B6">
        <f>B3+B4-B5</f>
        <v/>
      </c>
    </row>
    <row r="8">
      <c r="A8" t="inlineStr">
        <is>
          <t>Balance per books, 31 Aug 2026</t>
        </is>
      </c>
      <c r="B8" t="n">
        <v>25237.44</v>
      </c>
    </row>
    <row r="9">
      <c r="A9" t="inlineStr">
        <is>
          <t>Less: returned customer check (NSF)</t>
        </is>
      </c>
      <c r="B9" t="n">
        <v>2320.32</v>
      </c>
    </row>
    <row r="10">
      <c r="A10" t="inlineStr">
        <is>
          <t>Less: returned item fee</t>
        </is>
      </c>
      <c r="B10" t="n">
        <v>15</v>
      </c>
    </row>
    <row r="11">
      <c r="A11" t="inlineStr">
        <is>
          <t>Less: monthly service charge</t>
        </is>
      </c>
      <c r="B11" t="n">
        <v>25</v>
      </c>
    </row>
    <row r="12">
      <c r="A12" t="inlineStr">
        <is>
          <t>Add: interest earned</t>
        </is>
      </c>
      <c r="B12" t="n">
        <v>7.29</v>
      </c>
    </row>
    <row r="13">
      <c r="A13" t="inlineStr">
        <is>
          <t>Check 5305 keyed as 2,593.00, cleared at 5,293.00: correction</t>
        </is>
      </c>
      <c r="B13" t="n">
        <v>-2700</v>
      </c>
    </row>
    <row r="14">
      <c r="A14" t="inlineStr">
        <is>
          <t>Adjusted book balance</t>
        </is>
      </c>
      <c r="B14">
        <f>B8-B9-B10-B11+B12+B13</f>
        <v/>
      </c>
    </row>
    <row r="16">
      <c r="A16" t="inlineStr">
        <is>
          <t>Difference (should be zero)</t>
        </is>
      </c>
      <c r="B16">
        <f>ROUND(B6-B14,2)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6" customWidth="1" min="4" max="4"/>
    <col width="14" customWidth="1" min="5" max="5"/>
    <col width="12" customWidth="1" min="6" max="6"/>
    <col width="34" customWidth="1" min="7" max="7"/>
    <col width="14" customWidth="1" min="8" max="8"/>
  </cols>
  <sheetData>
    <row r="1">
      <c r="A1" s="1" t="inlineStr">
        <is>
          <t>Outstanding checks</t>
        </is>
      </c>
    </row>
    <row r="2">
      <c r="A2" t="inlineStr">
        <is>
          <t>Check no</t>
        </is>
      </c>
      <c r="B2" t="inlineStr">
        <is>
          <t>Date written</t>
        </is>
      </c>
      <c r="C2" t="inlineStr">
        <is>
          <t>Payee</t>
        </is>
      </c>
      <c r="D2" t="inlineStr">
        <is>
          <t>Amount</t>
        </is>
      </c>
    </row>
    <row r="3">
      <c r="A3" t="n">
        <v>5290</v>
      </c>
      <c r="B3" s="2" t="n">
        <v>46229</v>
      </c>
      <c r="C3" t="inlineStr">
        <is>
          <t>Valley Van Upfitters</t>
        </is>
      </c>
      <c r="D3" t="n">
        <v>1039.06</v>
      </c>
    </row>
    <row r="4">
      <c r="A4" t="n">
        <v>5314</v>
      </c>
      <c r="B4" s="2" t="n">
        <v>46252</v>
      </c>
      <c r="C4" t="inlineStr">
        <is>
          <t>Redline Uniforms</t>
        </is>
      </c>
      <c r="D4" t="n">
        <v>609.29</v>
      </c>
    </row>
    <row r="5">
      <c r="A5" t="n">
        <v>5315</v>
      </c>
      <c r="B5" s="2" t="n">
        <v>46254</v>
      </c>
      <c r="C5" t="inlineStr">
        <is>
          <t>Bayview Plumbing Wholesale</t>
        </is>
      </c>
      <c r="D5" t="n">
        <v>3607.66</v>
      </c>
    </row>
    <row r="6">
      <c r="A6" t="n">
        <v>5321</v>
      </c>
      <c r="B6" s="2" t="n">
        <v>46260</v>
      </c>
      <c r="C6" t="inlineStr">
        <is>
          <t>Ferguson Supply</t>
        </is>
      </c>
      <c r="D6" t="n">
        <v>2444.03</v>
      </c>
    </row>
    <row r="7">
      <c r="A7" t="inlineStr">
        <is>
          <t>Total outstanding checks</t>
        </is>
      </c>
      <c r="D7">
        <f>SUM(D3:D6)</f>
        <v/>
      </c>
    </row>
    <row r="8"/>
    <row r="9">
      <c r="A9" s="1" t="inlineStr">
        <is>
          <t>Deposits in transit</t>
        </is>
      </c>
    </row>
    <row r="10">
      <c r="A10" t="inlineStr">
        <is>
          <t>Date</t>
        </is>
      </c>
      <c r="B10" t="inlineStr">
        <is>
          <t>Received from</t>
        </is>
      </c>
      <c r="C10" t="inlineStr"/>
      <c r="D10" t="inlineStr">
        <is>
          <t>Amount</t>
        </is>
      </c>
    </row>
    <row r="11">
      <c r="A11" s="2" t="n">
        <v>46265</v>
      </c>
      <c r="B11" t="inlineStr">
        <is>
          <t>Oakhurst Pediatrics</t>
        </is>
      </c>
      <c r="D11" t="n">
        <v>3011.07</v>
      </c>
    </row>
    <row r="12">
      <c r="A12" t="inlineStr">
        <is>
          <t>Total deposits in transit</t>
        </is>
      </c>
      <c r="D12">
        <f>SUM(D11:D11)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6" customWidth="1" min="4" max="4"/>
    <col width="14" customWidth="1" min="5" max="5"/>
    <col width="12" customWidth="1" min="6" max="6"/>
    <col width="34" customWidth="1" min="7" max="7"/>
    <col width="14" customWidth="1" min="8" max="8"/>
  </cols>
  <sheetData>
    <row r="1">
      <c r="A1" t="inlineStr">
        <is>
          <t>Book date</t>
        </is>
      </c>
      <c r="B1" t="inlineStr">
        <is>
          <t>Type</t>
        </is>
      </c>
      <c r="C1" t="inlineStr">
        <is>
          <t>Num</t>
        </is>
      </c>
      <c r="D1" t="inlineStr">
        <is>
          <t>Name</t>
        </is>
      </c>
      <c r="E1" t="inlineStr">
        <is>
          <t>Book amount</t>
        </is>
      </c>
      <c r="F1" t="inlineStr">
        <is>
          <t>Bank date</t>
        </is>
      </c>
      <c r="G1" t="inlineStr">
        <is>
          <t>Bank description</t>
        </is>
      </c>
      <c r="H1" t="inlineStr">
        <is>
          <t>Bank amount</t>
        </is>
      </c>
    </row>
    <row r="2">
      <c r="A2" s="2" t="n">
        <v>46237</v>
      </c>
      <c r="B2" t="inlineStr">
        <is>
          <t>Check</t>
        </is>
      </c>
      <c r="C2" t="n">
        <v>5301</v>
      </c>
      <c r="D2" t="inlineStr">
        <is>
          <t>Cascade Tool Rental</t>
        </is>
      </c>
      <c r="E2" t="n">
        <v>-1933.56</v>
      </c>
      <c r="F2" s="2" t="n">
        <v>46241</v>
      </c>
      <c r="G2" t="inlineStr">
        <is>
          <t>CHECK 5301</t>
        </is>
      </c>
      <c r="H2" t="n">
        <v>-1933.56</v>
      </c>
    </row>
    <row r="3">
      <c r="A3" s="2" t="n">
        <v>46237</v>
      </c>
      <c r="B3" t="inlineStr">
        <is>
          <t>Deposit</t>
        </is>
      </c>
      <c r="C3" t="inlineStr"/>
      <c r="D3" t="inlineStr">
        <is>
          <t>Redwood Property Mgmt</t>
        </is>
      </c>
      <c r="E3" t="n">
        <v>1738.88</v>
      </c>
      <c r="F3" s="2" t="n">
        <v>46238</v>
      </c>
      <c r="G3" t="inlineStr">
        <is>
          <t>REMOTE DEPOSIT</t>
        </is>
      </c>
      <c r="H3" t="n">
        <v>1738.88</v>
      </c>
    </row>
    <row r="4">
      <c r="A4" s="2" t="n">
        <v>46238</v>
      </c>
      <c r="B4" t="inlineStr">
        <is>
          <t>Check</t>
        </is>
      </c>
      <c r="C4" t="n">
        <v>5302</v>
      </c>
      <c r="D4" t="inlineStr">
        <is>
          <t>Ferguson Supply</t>
        </is>
      </c>
      <c r="E4" t="n">
        <v>-3166.9</v>
      </c>
      <c r="F4" s="2" t="n">
        <v>46239</v>
      </c>
      <c r="G4" t="inlineStr">
        <is>
          <t>CHECK 5302</t>
        </is>
      </c>
      <c r="H4" t="n">
        <v>-3166.9</v>
      </c>
    </row>
    <row r="5">
      <c r="A5" s="2" t="n">
        <v>46238</v>
      </c>
      <c r="B5" t="inlineStr">
        <is>
          <t>Check</t>
        </is>
      </c>
      <c r="C5" t="n">
        <v>5303</v>
      </c>
      <c r="D5" t="inlineStr">
        <is>
          <t>Winnelson Co</t>
        </is>
      </c>
      <c r="E5" t="n">
        <v>-2846.09</v>
      </c>
      <c r="F5" s="2" t="n">
        <v>46240</v>
      </c>
      <c r="G5" t="inlineStr">
        <is>
          <t>CHECK 5303</t>
        </is>
      </c>
      <c r="H5" t="n">
        <v>-2846.09</v>
      </c>
    </row>
    <row r="6">
      <c r="A6" s="2" t="n">
        <v>46238</v>
      </c>
      <c r="B6" t="inlineStr">
        <is>
          <t>Check</t>
        </is>
      </c>
      <c r="C6" t="n">
        <v>5305</v>
      </c>
      <c r="D6" t="inlineStr">
        <is>
          <t>Redline Uniforms</t>
        </is>
      </c>
      <c r="E6" t="n">
        <v>-2593</v>
      </c>
      <c r="F6" s="2" t="n">
        <v>46239</v>
      </c>
      <c r="G6" t="inlineStr">
        <is>
          <t>CHECK 5305</t>
        </is>
      </c>
      <c r="H6" t="n">
        <v>-5293</v>
      </c>
    </row>
    <row r="7">
      <c r="A7" s="2" t="n">
        <v>46239</v>
      </c>
      <c r="B7" t="inlineStr">
        <is>
          <t>Check</t>
        </is>
      </c>
      <c r="C7" t="n">
        <v>5306</v>
      </c>
      <c r="D7" t="inlineStr">
        <is>
          <t>Sierra Backflow Testing</t>
        </is>
      </c>
      <c r="E7" t="n">
        <v>-1995.85</v>
      </c>
      <c r="F7" s="2" t="n">
        <v>46242</v>
      </c>
      <c r="G7" t="inlineStr">
        <is>
          <t>CHECK 5306</t>
        </is>
      </c>
      <c r="H7" t="n">
        <v>-1995.85</v>
      </c>
    </row>
    <row r="8">
      <c r="A8" s="2" t="n">
        <v>46239</v>
      </c>
      <c r="B8" t="inlineStr">
        <is>
          <t>Deposit</t>
        </is>
      </c>
      <c r="C8" t="inlineStr"/>
      <c r="D8" t="inlineStr">
        <is>
          <t>Lakeside Veterinary</t>
        </is>
      </c>
      <c r="E8" t="n">
        <v>1045.8</v>
      </c>
      <c r="F8" s="2" t="n">
        <v>46242</v>
      </c>
      <c r="G8" t="inlineStr">
        <is>
          <t>REMOTE DEPOSIT</t>
        </is>
      </c>
      <c r="H8" t="n">
        <v>1045.8</v>
      </c>
    </row>
    <row r="9">
      <c r="A9" s="2" t="n">
        <v>46239</v>
      </c>
      <c r="B9" t="inlineStr">
        <is>
          <t>Expense</t>
        </is>
      </c>
      <c r="C9" t="inlineStr"/>
      <c r="D9" t="inlineStr">
        <is>
          <t>Harbor Trust Visa</t>
        </is>
      </c>
      <c r="E9" t="n">
        <v>-5839.89</v>
      </c>
      <c r="F9" s="2" t="n">
        <v>46239</v>
      </c>
      <c r="G9" t="inlineStr">
        <is>
          <t>HARBOR TRUST VISA AUTOPAY</t>
        </is>
      </c>
      <c r="H9" t="n">
        <v>-5839.89</v>
      </c>
    </row>
    <row r="10">
      <c r="A10" s="2" t="n">
        <v>46241</v>
      </c>
      <c r="B10" t="inlineStr">
        <is>
          <t>Deposit</t>
        </is>
      </c>
      <c r="C10" t="inlineStr"/>
      <c r="D10" t="inlineStr">
        <is>
          <t>Uptown Fitness</t>
        </is>
      </c>
      <c r="E10" t="n">
        <v>7913.25</v>
      </c>
      <c r="F10" s="2" t="n">
        <v>46242</v>
      </c>
      <c r="G10" t="inlineStr">
        <is>
          <t>MOBILE DEPOSIT</t>
        </is>
      </c>
      <c r="H10" t="n">
        <v>7913.25</v>
      </c>
    </row>
    <row r="11">
      <c r="A11" s="2" t="n">
        <v>46244</v>
      </c>
      <c r="B11" t="inlineStr">
        <is>
          <t>Check</t>
        </is>
      </c>
      <c r="C11" t="n">
        <v>5307</v>
      </c>
      <c r="D11" t="inlineStr">
        <is>
          <t>Home Depot Pro</t>
        </is>
      </c>
      <c r="E11" t="n">
        <v>-2885.85</v>
      </c>
      <c r="F11" s="2" t="n">
        <v>46248</v>
      </c>
      <c r="G11" t="inlineStr">
        <is>
          <t>CHECK 5307</t>
        </is>
      </c>
      <c r="H11" t="n">
        <v>-2885.85</v>
      </c>
    </row>
    <row r="12">
      <c r="A12" s="2" t="n">
        <v>46245</v>
      </c>
      <c r="B12" t="inlineStr">
        <is>
          <t>Check</t>
        </is>
      </c>
      <c r="C12" t="n">
        <v>5308</v>
      </c>
      <c r="D12" t="inlineStr">
        <is>
          <t>Home Depot Pro</t>
        </is>
      </c>
      <c r="E12" t="n">
        <v>-3587.99</v>
      </c>
      <c r="F12" s="2" t="n">
        <v>46246</v>
      </c>
      <c r="G12" t="inlineStr">
        <is>
          <t>CHECK 5308</t>
        </is>
      </c>
      <c r="H12" t="n">
        <v>-3587.99</v>
      </c>
    </row>
    <row r="13">
      <c r="A13" s="2" t="n">
        <v>46245</v>
      </c>
      <c r="B13" t="inlineStr">
        <is>
          <t>Check</t>
        </is>
      </c>
      <c r="C13" t="n">
        <v>5309</v>
      </c>
      <c r="D13" t="inlineStr">
        <is>
          <t>Home Depot Pro</t>
        </is>
      </c>
      <c r="E13" t="n">
        <v>-3160.58</v>
      </c>
      <c r="F13" s="2" t="n">
        <v>46246</v>
      </c>
      <c r="G13" t="inlineStr">
        <is>
          <t>CHECK 5309</t>
        </is>
      </c>
      <c r="H13" t="n">
        <v>-3160.58</v>
      </c>
    </row>
    <row r="14">
      <c r="A14" s="2" t="n">
        <v>46246</v>
      </c>
      <c r="B14" t="inlineStr">
        <is>
          <t>Check</t>
        </is>
      </c>
      <c r="C14" t="n">
        <v>5310</v>
      </c>
      <c r="D14" t="inlineStr">
        <is>
          <t>Apex Drain Cameras</t>
        </is>
      </c>
      <c r="E14" t="n">
        <v>-2181.64</v>
      </c>
      <c r="F14" s="2" t="n">
        <v>46250</v>
      </c>
      <c r="G14" t="inlineStr">
        <is>
          <t>CHECK 5310</t>
        </is>
      </c>
      <c r="H14" t="n">
        <v>-2181.64</v>
      </c>
    </row>
    <row r="15">
      <c r="A15" s="2" t="n">
        <v>46246</v>
      </c>
      <c r="B15" t="inlineStr">
        <is>
          <t>Deposit</t>
        </is>
      </c>
      <c r="C15" t="inlineStr"/>
      <c r="D15" t="inlineStr">
        <is>
          <t>Tamarack Brewing</t>
        </is>
      </c>
      <c r="E15" t="n">
        <v>3559.69</v>
      </c>
      <c r="F15" s="2" t="n">
        <v>46248</v>
      </c>
      <c r="G15" t="inlineStr">
        <is>
          <t>REMOTE DEPOSIT</t>
        </is>
      </c>
      <c r="H15" t="n">
        <v>3559.69</v>
      </c>
    </row>
    <row r="16">
      <c r="A16" s="2" t="n">
        <v>46247</v>
      </c>
      <c r="B16" t="inlineStr">
        <is>
          <t>Expense</t>
        </is>
      </c>
      <c r="C16" t="inlineStr"/>
      <c r="D16" t="inlineStr">
        <is>
          <t>City Water Utility</t>
        </is>
      </c>
      <c r="E16" t="n">
        <v>-607.3099999999999</v>
      </c>
      <c r="F16" s="2" t="n">
        <v>46247</v>
      </c>
      <c r="G16" t="inlineStr">
        <is>
          <t>CITY OF TACOMA UTIL AUTOPAY</t>
        </is>
      </c>
      <c r="H16" t="n">
        <v>-607.3099999999999</v>
      </c>
    </row>
    <row r="17">
      <c r="A17" s="2" t="n">
        <v>46248</v>
      </c>
      <c r="B17" t="inlineStr">
        <is>
          <t>Check</t>
        </is>
      </c>
      <c r="C17" t="n">
        <v>5311</v>
      </c>
      <c r="D17" t="inlineStr">
        <is>
          <t>Winnelson Co</t>
        </is>
      </c>
      <c r="E17" t="n">
        <v>-3874.51</v>
      </c>
      <c r="F17" s="2" t="n">
        <v>46252</v>
      </c>
      <c r="G17" t="inlineStr">
        <is>
          <t>CHECK 5311</t>
        </is>
      </c>
      <c r="H17" t="n">
        <v>-3874.51</v>
      </c>
    </row>
    <row r="18">
      <c r="A18" s="2" t="n">
        <v>46248</v>
      </c>
      <c r="B18" t="inlineStr">
        <is>
          <t>Expense</t>
        </is>
      </c>
      <c r="C18" t="inlineStr"/>
      <c r="D18" t="inlineStr">
        <is>
          <t>Gusto</t>
        </is>
      </c>
      <c r="E18" t="n">
        <v>-17393.62</v>
      </c>
      <c r="F18" s="2" t="n">
        <v>46248</v>
      </c>
      <c r="G18" t="inlineStr">
        <is>
          <t>GUSTO PAYROLL 081426</t>
        </is>
      </c>
      <c r="H18" t="n">
        <v>-17393.62</v>
      </c>
    </row>
    <row r="19">
      <c r="A19" s="2" t="n">
        <v>46251</v>
      </c>
      <c r="B19" t="inlineStr">
        <is>
          <t>Deposit</t>
        </is>
      </c>
      <c r="C19" t="inlineStr"/>
      <c r="D19" t="inlineStr">
        <is>
          <t>Juniper Street Cafe</t>
        </is>
      </c>
      <c r="E19" t="n">
        <v>5215.66</v>
      </c>
      <c r="F19" s="2" t="n">
        <v>46253</v>
      </c>
      <c r="G19" t="inlineStr">
        <is>
          <t>DEPOSIT</t>
        </is>
      </c>
      <c r="H19" t="n">
        <v>5215.66</v>
      </c>
    </row>
    <row r="20">
      <c r="A20" s="2" t="n">
        <v>46252</v>
      </c>
      <c r="B20" t="inlineStr">
        <is>
          <t>Check</t>
        </is>
      </c>
      <c r="C20" t="n">
        <v>5313</v>
      </c>
      <c r="D20" t="inlineStr">
        <is>
          <t>Winnelson Co</t>
        </is>
      </c>
      <c r="E20" t="n">
        <v>-1273.44</v>
      </c>
      <c r="F20" s="2" t="n">
        <v>46254</v>
      </c>
      <c r="G20" t="inlineStr">
        <is>
          <t>CHECK 5313</t>
        </is>
      </c>
      <c r="H20" t="n">
        <v>-1273.44</v>
      </c>
    </row>
    <row r="21">
      <c r="A21" s="2" t="n">
        <v>46253</v>
      </c>
      <c r="B21" t="inlineStr">
        <is>
          <t>Deposit</t>
        </is>
      </c>
      <c r="C21" t="inlineStr"/>
      <c r="D21" t="inlineStr">
        <is>
          <t>Meridian Title</t>
        </is>
      </c>
      <c r="E21" t="n">
        <v>5722.33</v>
      </c>
      <c r="F21" s="2" t="n">
        <v>46255</v>
      </c>
      <c r="G21" t="inlineStr">
        <is>
          <t>REMOTE DEPOSIT</t>
        </is>
      </c>
      <c r="H21" t="n">
        <v>5722.33</v>
      </c>
    </row>
    <row r="22">
      <c r="A22" s="2" t="n">
        <v>46253</v>
      </c>
      <c r="B22" t="inlineStr">
        <is>
          <t>Deposit</t>
        </is>
      </c>
      <c r="C22" t="inlineStr"/>
      <c r="D22" t="inlineStr">
        <is>
          <t>Ellington Bakeries</t>
        </is>
      </c>
      <c r="E22" t="n">
        <v>5918.99</v>
      </c>
      <c r="F22" s="2" t="n">
        <v>46256</v>
      </c>
      <c r="G22" t="inlineStr">
        <is>
          <t>DEPOSIT</t>
        </is>
      </c>
      <c r="H22" t="n">
        <v>5918.99</v>
      </c>
    </row>
    <row r="23">
      <c r="A23" s="2" t="n">
        <v>46253</v>
      </c>
      <c r="B23" t="inlineStr">
        <is>
          <t>Deposit</t>
        </is>
      </c>
      <c r="C23" t="inlineStr"/>
      <c r="D23" t="inlineStr">
        <is>
          <t>Oakhurst Pediatrics</t>
        </is>
      </c>
      <c r="E23" t="n">
        <v>1202.06</v>
      </c>
      <c r="F23" s="2" t="n">
        <v>46254</v>
      </c>
      <c r="G23" t="inlineStr">
        <is>
          <t>DEPOSIT</t>
        </is>
      </c>
      <c r="H23" t="n">
        <v>4853.75</v>
      </c>
    </row>
    <row r="24">
      <c r="A24" s="2" t="n">
        <v>46253</v>
      </c>
      <c r="B24" t="inlineStr">
        <is>
          <t>Deposit</t>
        </is>
      </c>
      <c r="C24" t="inlineStr"/>
      <c r="D24" t="inlineStr">
        <is>
          <t>Meridian Title</t>
        </is>
      </c>
      <c r="E24" t="n">
        <v>3651.69</v>
      </c>
      <c r="F24" s="2" t="n">
        <v>46254</v>
      </c>
      <c r="G24" t="inlineStr">
        <is>
          <t>DEPOSIT</t>
        </is>
      </c>
      <c r="H24" t="n">
        <v>4853.75</v>
      </c>
    </row>
    <row r="25">
      <c r="A25" s="2" t="n">
        <v>46254</v>
      </c>
      <c r="B25" t="inlineStr">
        <is>
          <t>Check</t>
        </is>
      </c>
      <c r="C25" t="n">
        <v>5316</v>
      </c>
      <c r="D25" t="inlineStr">
        <is>
          <t>Apex Drain Cameras</t>
        </is>
      </c>
      <c r="E25" t="n">
        <v>-2407.98</v>
      </c>
      <c r="F25" s="2" t="n">
        <v>46258</v>
      </c>
      <c r="G25" t="inlineStr">
        <is>
          <t>CHECK 5316</t>
        </is>
      </c>
      <c r="H25" t="n">
        <v>-2407.98</v>
      </c>
    </row>
    <row r="26">
      <c r="A26" s="2" t="n">
        <v>46254</v>
      </c>
      <c r="B26" t="inlineStr">
        <is>
          <t>Deposit</t>
        </is>
      </c>
      <c r="C26" t="inlineStr"/>
      <c r="D26" t="inlineStr">
        <is>
          <t>Oakhurst Pediatrics</t>
        </is>
      </c>
      <c r="E26" t="n">
        <v>4906.39</v>
      </c>
      <c r="F26" s="2" t="n">
        <v>46256</v>
      </c>
      <c r="G26" t="inlineStr">
        <is>
          <t>DEPOSIT</t>
        </is>
      </c>
      <c r="H26" t="n">
        <v>4906.39</v>
      </c>
    </row>
    <row r="27">
      <c r="A27" s="2" t="n">
        <v>46255</v>
      </c>
      <c r="B27" t="inlineStr">
        <is>
          <t>Deposit</t>
        </is>
      </c>
      <c r="C27" t="inlineStr"/>
      <c r="D27" t="inlineStr">
        <is>
          <t>Valley Forge Storage</t>
        </is>
      </c>
      <c r="E27" t="n">
        <v>1370.76</v>
      </c>
      <c r="F27" s="2" t="n">
        <v>46259</v>
      </c>
      <c r="G27" t="inlineStr">
        <is>
          <t>MOBILE DEPOSIT</t>
        </is>
      </c>
      <c r="H27" t="n">
        <v>1370.76</v>
      </c>
    </row>
    <row r="28">
      <c r="A28" s="2" t="n">
        <v>46255</v>
      </c>
      <c r="B28" t="inlineStr">
        <is>
          <t>Deposit</t>
        </is>
      </c>
      <c r="C28" t="inlineStr"/>
      <c r="D28" t="inlineStr">
        <is>
          <t>Valley Forge Storage</t>
        </is>
      </c>
      <c r="E28" t="n">
        <v>8044.43</v>
      </c>
      <c r="F28" s="2" t="n">
        <v>46259</v>
      </c>
      <c r="G28" t="inlineStr">
        <is>
          <t>MOBILE DEPOSIT</t>
        </is>
      </c>
      <c r="H28" t="n">
        <v>8044.43</v>
      </c>
    </row>
    <row r="29">
      <c r="A29" s="2" t="n">
        <v>46258</v>
      </c>
      <c r="B29" t="inlineStr">
        <is>
          <t>Check</t>
        </is>
      </c>
      <c r="C29" t="n">
        <v>5317</v>
      </c>
      <c r="D29" t="inlineStr">
        <is>
          <t>Valley Van Upfitters</t>
        </is>
      </c>
      <c r="E29" t="n">
        <v>-484.54</v>
      </c>
      <c r="F29" s="2" t="n">
        <v>46261</v>
      </c>
      <c r="G29" t="inlineStr">
        <is>
          <t>CHECK 5317</t>
        </is>
      </c>
      <c r="H29" t="n">
        <v>-484.54</v>
      </c>
    </row>
    <row r="30">
      <c r="A30" s="2" t="n">
        <v>46258</v>
      </c>
      <c r="B30" t="inlineStr">
        <is>
          <t>Deposit</t>
        </is>
      </c>
      <c r="C30" t="inlineStr"/>
      <c r="D30" t="inlineStr">
        <is>
          <t>Juniper Street Cafe</t>
        </is>
      </c>
      <c r="E30" t="n">
        <v>1674.93</v>
      </c>
      <c r="F30" s="2" t="n">
        <v>46261</v>
      </c>
      <c r="G30" t="inlineStr">
        <is>
          <t>REMOTE DEPOSIT</t>
        </is>
      </c>
      <c r="H30" t="n">
        <v>1674.93</v>
      </c>
    </row>
    <row r="31">
      <c r="A31" s="2" t="n">
        <v>46259</v>
      </c>
      <c r="B31" t="inlineStr">
        <is>
          <t>Check</t>
        </is>
      </c>
      <c r="C31" t="n">
        <v>5319</v>
      </c>
      <c r="D31" t="inlineStr">
        <is>
          <t>Metro Rooter Parts</t>
        </is>
      </c>
      <c r="E31" t="n">
        <v>-2304.45</v>
      </c>
      <c r="F31" s="2" t="n">
        <v>46262</v>
      </c>
      <c r="G31" t="inlineStr">
        <is>
          <t>CHECK 5319</t>
        </is>
      </c>
      <c r="H31" t="n">
        <v>-2304.45</v>
      </c>
    </row>
    <row r="32">
      <c r="A32" s="2" t="n">
        <v>46260</v>
      </c>
      <c r="B32" t="inlineStr">
        <is>
          <t>Check</t>
        </is>
      </c>
      <c r="C32" t="n">
        <v>5320</v>
      </c>
      <c r="D32" t="inlineStr">
        <is>
          <t>Pacific Pipe &amp; Valve</t>
        </is>
      </c>
      <c r="E32" t="n">
        <v>-852.11</v>
      </c>
      <c r="F32" s="2" t="n">
        <v>46262</v>
      </c>
      <c r="G32" t="inlineStr">
        <is>
          <t>CHECK 5320</t>
        </is>
      </c>
      <c r="H32" t="n">
        <v>-852.11</v>
      </c>
    </row>
    <row r="33">
      <c r="A33" s="2" t="n">
        <v>46261</v>
      </c>
      <c r="B33" t="inlineStr">
        <is>
          <t>Deposit</t>
        </is>
      </c>
      <c r="C33" t="inlineStr"/>
      <c r="D33" t="inlineStr">
        <is>
          <t>Redwood Property Mgmt</t>
        </is>
      </c>
      <c r="E33" t="n">
        <v>1530.32</v>
      </c>
      <c r="F33" s="2" t="n">
        <v>46262</v>
      </c>
      <c r="G33" t="inlineStr">
        <is>
          <t>REMOTE DEPOSIT</t>
        </is>
      </c>
      <c r="H33" t="n">
        <v>1530.32</v>
      </c>
    </row>
    <row r="34">
      <c r="A34" s="2" t="n">
        <v>46261</v>
      </c>
      <c r="B34" t="inlineStr">
        <is>
          <t>Expense</t>
        </is>
      </c>
      <c r="C34" t="inlineStr"/>
      <c r="D34" t="inlineStr">
        <is>
          <t>Ally Commercial</t>
        </is>
      </c>
      <c r="E34" t="n">
        <v>-816.91</v>
      </c>
      <c r="F34" s="2" t="n">
        <v>46261</v>
      </c>
      <c r="G34" t="inlineStr">
        <is>
          <t>ALLY COMMERCIAL LOAN PMT</t>
        </is>
      </c>
      <c r="H34" t="n">
        <v>-816.91</v>
      </c>
    </row>
    <row r="35">
      <c r="A35" s="2" t="n">
        <v>46261</v>
      </c>
      <c r="B35" t="inlineStr">
        <is>
          <t>Expense</t>
        </is>
      </c>
      <c r="C35" t="inlineStr"/>
      <c r="D35" t="inlineStr">
        <is>
          <t>State Farm</t>
        </is>
      </c>
      <c r="E35" t="n">
        <v>-1064.1</v>
      </c>
      <c r="F35" s="2" t="n">
        <v>46261</v>
      </c>
      <c r="G35" t="inlineStr">
        <is>
          <t>STATE FARM RO 27 INS PREM</t>
        </is>
      </c>
      <c r="H35" t="n">
        <v>-1064.1</v>
      </c>
    </row>
    <row r="36">
      <c r="A36" s="2" t="n">
        <v>46262</v>
      </c>
      <c r="B36" t="inlineStr">
        <is>
          <t>Check</t>
        </is>
      </c>
      <c r="C36" t="n">
        <v>5322</v>
      </c>
      <c r="D36" t="inlineStr">
        <is>
          <t>Valley Van Upfitters</t>
        </is>
      </c>
      <c r="E36" t="n">
        <v>-399.76</v>
      </c>
      <c r="F36" s="2" t="n">
        <v>46263</v>
      </c>
      <c r="G36" t="inlineStr">
        <is>
          <t>CHECK 5322</t>
        </is>
      </c>
      <c r="H36" t="n">
        <v>-399.76</v>
      </c>
    </row>
    <row r="37">
      <c r="A37" s="2" t="n">
        <v>46262</v>
      </c>
      <c r="B37" t="inlineStr">
        <is>
          <t>Deposit</t>
        </is>
      </c>
      <c r="C37" t="inlineStr"/>
      <c r="D37" t="inlineStr">
        <is>
          <t>Lakeside Veterinary</t>
        </is>
      </c>
      <c r="E37" t="n">
        <v>8481.59</v>
      </c>
      <c r="F37" s="2" t="n">
        <v>46265</v>
      </c>
      <c r="G37" t="inlineStr">
        <is>
          <t>DEPOSIT</t>
        </is>
      </c>
      <c r="H37" t="n">
        <v>8481.59</v>
      </c>
    </row>
    <row r="38">
      <c r="A38" s="2" t="n">
        <v>46262</v>
      </c>
      <c r="B38" t="inlineStr">
        <is>
          <t>Expense</t>
        </is>
      </c>
      <c r="C38" t="inlineStr"/>
      <c r="D38" t="inlineStr">
        <is>
          <t>Gusto</t>
        </is>
      </c>
      <c r="E38" t="n">
        <v>-14651.12</v>
      </c>
      <c r="F38" s="2" t="n">
        <v>46262</v>
      </c>
      <c r="G38" t="inlineStr">
        <is>
          <t>GUSTO PAYROLL 082826</t>
        </is>
      </c>
      <c r="H38" t="n">
        <v>-14651.12</v>
      </c>
    </row>
    <row r="39">
      <c r="A39" t="inlineStr">
        <is>
          <t>July reconciliation</t>
        </is>
      </c>
      <c r="B39" t="inlineStr">
        <is>
          <t>Deposit</t>
        </is>
      </c>
      <c r="C39" t="inlineStr"/>
      <c r="D39" t="inlineStr">
        <is>
          <t>cleared from July's outstanding list</t>
        </is>
      </c>
      <c r="E39" t="n">
        <v>3993.74</v>
      </c>
      <c r="F39" s="2" t="n">
        <v>46237</v>
      </c>
      <c r="G39" t="inlineStr">
        <is>
          <t>DEPOSIT</t>
        </is>
      </c>
      <c r="H39" t="n">
        <v>3993.74</v>
      </c>
    </row>
    <row r="40">
      <c r="A40" t="inlineStr">
        <is>
          <t>July reconciliation</t>
        </is>
      </c>
      <c r="B40" t="inlineStr">
        <is>
          <t>Check</t>
        </is>
      </c>
      <c r="C40" t="n">
        <v>5284</v>
      </c>
      <c r="D40" t="inlineStr">
        <is>
          <t>cleared from July's outstanding list</t>
        </is>
      </c>
      <c r="E40" t="n">
        <v>-2039.29</v>
      </c>
      <c r="F40" s="2" t="n">
        <v>46237</v>
      </c>
      <c r="G40" t="inlineStr">
        <is>
          <t>CHECK 5284</t>
        </is>
      </c>
      <c r="H40" t="n">
        <v>-2039.29</v>
      </c>
    </row>
    <row r="41">
      <c r="A41" t="inlineStr">
        <is>
          <t>July reconciliation</t>
        </is>
      </c>
      <c r="B41" t="inlineStr">
        <is>
          <t>Check</t>
        </is>
      </c>
      <c r="C41" t="n">
        <v>5296</v>
      </c>
      <c r="D41" t="inlineStr">
        <is>
          <t>cleared from July's outstanding list</t>
        </is>
      </c>
      <c r="E41" t="n">
        <v>-1349.94</v>
      </c>
      <c r="F41" s="2" t="n">
        <v>46245</v>
      </c>
      <c r="G41" t="inlineStr">
        <is>
          <t>CHECK 5296</t>
        </is>
      </c>
      <c r="H41" t="n">
        <v>-1349.94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