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asons" sheetId="2" state="visible" r:id="rId2"/>
    <sheet name="Sales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4" customWidth="1" min="4" max="4"/>
    <col width="13" customWidth="1" min="5" max="5"/>
    <col width="15" customWidth="1" min="6" max="6"/>
    <col width="12" customWidth="1" min="7" max="7"/>
    <col width="16" customWidth="1" min="8" max="8"/>
  </cols>
  <sheetData>
    <row r="1">
      <c r="A1" s="1" t="inlineStr">
        <is>
          <t>Q2 2026 returns by product (Apr-Jun)</t>
        </is>
      </c>
    </row>
    <row r="2">
      <c r="A2" s="2" t="inlineStr">
        <is>
          <t>SKU</t>
        </is>
      </c>
      <c r="B2" s="2" t="inlineStr">
        <is>
          <t>Product</t>
        </is>
      </c>
      <c r="C2" s="2" t="inlineStr">
        <is>
          <t>Units sold</t>
        </is>
      </c>
      <c r="D2" s="2" t="inlineStr">
        <is>
          <t>Units returned</t>
        </is>
      </c>
      <c r="E2" s="2" t="inlineStr">
        <is>
          <t>Refund units</t>
        </is>
      </c>
      <c r="F2" s="2" t="inlineStr">
        <is>
          <t>Exchange units</t>
        </is>
      </c>
      <c r="G2" s="2" t="inlineStr">
        <is>
          <t>Return rate</t>
        </is>
      </c>
      <c r="H2" s="2" t="inlineStr">
        <is>
          <t>Refunded dollars</t>
        </is>
      </c>
    </row>
    <row r="3">
      <c r="A3" t="inlineStr">
        <is>
          <t>TJ-M-BLU</t>
        </is>
      </c>
      <c r="B3" t="inlineStr">
        <is>
          <t>Trail Jacket M</t>
        </is>
      </c>
      <c r="C3">
        <f>VLOOKUP(A3,Sales!$A$2:$C$10,3,FALSE)</f>
        <v/>
      </c>
      <c r="D3">
        <f>SUMIF(Returns!$D$2:$D$119,A3,Returns!$F$2:$F$119)</f>
        <v/>
      </c>
      <c r="E3">
        <f>SUMIFS(Returns!$F$2:$F$119,Returns!$D$2:$D$119,A3,Returns!$G$2:$G$119,"Refund")+SUMIFS(Returns!$F$2:$F$119,Returns!$D$2:$D$119,A3,Returns!$G$2:$G$119,"Store credit")</f>
        <v/>
      </c>
      <c r="F3">
        <f>SUMIFS(Returns!$F$2:$F$119,Returns!$D$2:$D$119,A3,Returns!$G$2:$G$119,"Exchange")</f>
        <v/>
      </c>
      <c r="G3">
        <f>IF(C3=0,0,ROUND(D3/C3,4))</f>
        <v/>
      </c>
      <c r="H3">
        <f>SUMIF(Returns!$D$2:$D$119,A3,Returns!$I$2:$I$119)</f>
        <v/>
      </c>
    </row>
    <row r="4">
      <c r="A4" t="inlineStr">
        <is>
          <t>TJ-L-BLU</t>
        </is>
      </c>
      <c r="B4" t="inlineStr">
        <is>
          <t>Trail Jacket L</t>
        </is>
      </c>
      <c r="C4">
        <f>VLOOKUP(A4,Sales!$A$2:$C$10,3,FALSE)</f>
        <v/>
      </c>
      <c r="D4">
        <f>SUMIF(Returns!$D$2:$D$119,A4,Returns!$F$2:$F$119)</f>
        <v/>
      </c>
      <c r="E4">
        <f>SUMIFS(Returns!$F$2:$F$119,Returns!$D$2:$D$119,A4,Returns!$G$2:$G$119,"Refund")+SUMIFS(Returns!$F$2:$F$119,Returns!$D$2:$D$119,A4,Returns!$G$2:$G$119,"Store credit")</f>
        <v/>
      </c>
      <c r="F4">
        <f>SUMIFS(Returns!$F$2:$F$119,Returns!$D$2:$D$119,A4,Returns!$G$2:$G$119,"Exchange")</f>
        <v/>
      </c>
      <c r="G4">
        <f>IF(C4=0,0,ROUND(D4/C4,4))</f>
        <v/>
      </c>
      <c r="H4">
        <f>SUMIF(Returns!$D$2:$D$119,A4,Returns!$I$2:$I$119)</f>
        <v/>
      </c>
    </row>
    <row r="5">
      <c r="A5" t="inlineStr">
        <is>
          <t>WS-3PK</t>
        </is>
      </c>
      <c r="B5" t="inlineStr">
        <is>
          <t>Wool Sock 3pk</t>
        </is>
      </c>
      <c r="C5">
        <f>VLOOKUP(A5,Sales!$A$2:$C$10,3,FALSE)</f>
        <v/>
      </c>
      <c r="D5">
        <f>SUMIF(Returns!$D$2:$D$119,A5,Returns!$F$2:$F$119)</f>
        <v/>
      </c>
      <c r="E5">
        <f>SUMIFS(Returns!$F$2:$F$119,Returns!$D$2:$D$119,A5,Returns!$G$2:$G$119,"Refund")+SUMIFS(Returns!$F$2:$F$119,Returns!$D$2:$D$119,A5,Returns!$G$2:$G$119,"Store credit")</f>
        <v/>
      </c>
      <c r="F5">
        <f>SUMIFS(Returns!$F$2:$F$119,Returns!$D$2:$D$119,A5,Returns!$G$2:$G$119,"Exchange")</f>
        <v/>
      </c>
      <c r="G5">
        <f>IF(C5=0,0,ROUND(D5/C5,4))</f>
        <v/>
      </c>
      <c r="H5">
        <f>SUMIF(Returns!$D$2:$D$119,A5,Returns!$I$2:$I$119)</f>
        <v/>
      </c>
    </row>
    <row r="6">
      <c r="A6" t="inlineStr">
        <is>
          <t>WB-1L</t>
        </is>
      </c>
      <c r="B6" t="inlineStr">
        <is>
          <t>Water Bottle 1L</t>
        </is>
      </c>
      <c r="C6">
        <f>VLOOKUP(A6,Sales!$A$2:$C$10,3,FALSE)</f>
        <v/>
      </c>
      <c r="D6">
        <f>SUMIF(Returns!$D$2:$D$119,A6,Returns!$F$2:$F$119)</f>
        <v/>
      </c>
      <c r="E6">
        <f>SUMIFS(Returns!$F$2:$F$119,Returns!$D$2:$D$119,A6,Returns!$G$2:$G$119,"Refund")+SUMIFS(Returns!$F$2:$F$119,Returns!$D$2:$D$119,A6,Returns!$G$2:$G$119,"Store credit")</f>
        <v/>
      </c>
      <c r="F6">
        <f>SUMIFS(Returns!$F$2:$F$119,Returns!$D$2:$D$119,A6,Returns!$G$2:$G$119,"Exchange")</f>
        <v/>
      </c>
      <c r="G6">
        <f>IF(C6=0,0,ROUND(D6/C6,4))</f>
        <v/>
      </c>
      <c r="H6">
        <f>SUMIF(Returns!$D$2:$D$119,A6,Returns!$I$2:$I$119)</f>
        <v/>
      </c>
    </row>
    <row r="7">
      <c r="A7" t="inlineStr">
        <is>
          <t>HL-300</t>
        </is>
      </c>
      <c r="B7" t="inlineStr">
        <is>
          <t>Headlamp 300lm</t>
        </is>
      </c>
      <c r="C7">
        <f>VLOOKUP(A7,Sales!$A$2:$C$10,3,FALSE)</f>
        <v/>
      </c>
      <c r="D7">
        <f>SUMIF(Returns!$D$2:$D$119,A7,Returns!$F$2:$F$119)</f>
        <v/>
      </c>
      <c r="E7">
        <f>SUMIFS(Returns!$F$2:$F$119,Returns!$D$2:$D$119,A7,Returns!$G$2:$G$119,"Refund")+SUMIFS(Returns!$F$2:$F$119,Returns!$D$2:$D$119,A7,Returns!$G$2:$G$119,"Store credit")</f>
        <v/>
      </c>
      <c r="F7">
        <f>SUMIFS(Returns!$F$2:$F$119,Returns!$D$2:$D$119,A7,Returns!$G$2:$G$119,"Exchange")</f>
        <v/>
      </c>
      <c r="G7">
        <f>IF(C7=0,0,ROUND(D7/C7,4))</f>
        <v/>
      </c>
      <c r="H7">
        <f>SUMIF(Returns!$D$2:$D$119,A7,Returns!$I$2:$I$119)</f>
        <v/>
      </c>
    </row>
    <row r="8">
      <c r="A8" t="inlineStr">
        <is>
          <t>CS-01</t>
        </is>
      </c>
      <c r="B8" t="inlineStr">
        <is>
          <t>Summit Stove</t>
        </is>
      </c>
      <c r="C8">
        <f>VLOOKUP(A8,Sales!$A$2:$C$10,3,FALSE)</f>
        <v/>
      </c>
      <c r="D8">
        <f>SUMIF(Returns!$D$2:$D$119,A8,Returns!$F$2:$F$119)</f>
        <v/>
      </c>
      <c r="E8">
        <f>SUMIFS(Returns!$F$2:$F$119,Returns!$D$2:$D$119,A8,Returns!$G$2:$G$119,"Refund")+SUMIFS(Returns!$F$2:$F$119,Returns!$D$2:$D$119,A8,Returns!$G$2:$G$119,"Store credit")</f>
        <v/>
      </c>
      <c r="F8">
        <f>SUMIFS(Returns!$F$2:$F$119,Returns!$D$2:$D$119,A8,Returns!$G$2:$G$119,"Exchange")</f>
        <v/>
      </c>
      <c r="G8">
        <f>IF(C8=0,0,ROUND(D8/C8,4))</f>
        <v/>
      </c>
      <c r="H8">
        <f>SUMIF(Returns!$D$2:$D$119,A8,Returns!$I$2:$I$119)</f>
        <v/>
      </c>
    </row>
    <row r="9">
      <c r="A9" t="inlineStr">
        <is>
          <t>TP-PR</t>
        </is>
      </c>
      <c r="B9" t="inlineStr">
        <is>
          <t>Trekking Pole pair</t>
        </is>
      </c>
      <c r="C9">
        <f>VLOOKUP(A9,Sales!$A$2:$C$10,3,FALSE)</f>
        <v/>
      </c>
      <c r="D9">
        <f>SUMIF(Returns!$D$2:$D$119,A9,Returns!$F$2:$F$119)</f>
        <v/>
      </c>
      <c r="E9">
        <f>SUMIFS(Returns!$F$2:$F$119,Returns!$D$2:$D$119,A9,Returns!$G$2:$G$119,"Refund")+SUMIFS(Returns!$F$2:$F$119,Returns!$D$2:$D$119,A9,Returns!$G$2:$G$119,"Store credit")</f>
        <v/>
      </c>
      <c r="F9">
        <f>SUMIFS(Returns!$F$2:$F$119,Returns!$D$2:$D$119,A9,Returns!$G$2:$G$119,"Exchange")</f>
        <v/>
      </c>
      <c r="G9">
        <f>IF(C9=0,0,ROUND(D9/C9,4))</f>
        <v/>
      </c>
      <c r="H9">
        <f>SUMIF(Returns!$D$2:$D$119,A9,Returns!$I$2:$I$119)</f>
        <v/>
      </c>
    </row>
    <row r="10">
      <c r="A10" t="inlineStr">
        <is>
          <t>DB-20</t>
        </is>
      </c>
      <c r="B10" t="inlineStr">
        <is>
          <t>Dry Bag 20L</t>
        </is>
      </c>
      <c r="C10">
        <f>VLOOKUP(A10,Sales!$A$2:$C$10,3,FALSE)</f>
        <v/>
      </c>
      <c r="D10">
        <f>SUMIF(Returns!$D$2:$D$119,A10,Returns!$F$2:$F$119)</f>
        <v/>
      </c>
      <c r="E10">
        <f>SUMIFS(Returns!$F$2:$F$119,Returns!$D$2:$D$119,A10,Returns!$G$2:$G$119,"Refund")+SUMIFS(Returns!$F$2:$F$119,Returns!$D$2:$D$119,A10,Returns!$G$2:$G$119,"Store credit")</f>
        <v/>
      </c>
      <c r="F10">
        <f>SUMIFS(Returns!$F$2:$F$119,Returns!$D$2:$D$119,A10,Returns!$G$2:$G$119,"Exchange")</f>
        <v/>
      </c>
      <c r="G10">
        <f>IF(C10=0,0,ROUND(D10/C10,4))</f>
        <v/>
      </c>
      <c r="H10">
        <f>SUMIF(Returns!$D$2:$D$119,A10,Returns!$I$2:$I$119)</f>
        <v/>
      </c>
    </row>
    <row r="11">
      <c r="A11" t="inlineStr">
        <is>
          <t>MC-01</t>
        </is>
      </c>
      <c r="B11" t="inlineStr">
        <is>
          <t>Map Case</t>
        </is>
      </c>
      <c r="C11">
        <f>VLOOKUP(A11,Sales!$A$2:$C$10,3,FALSE)</f>
        <v/>
      </c>
      <c r="D11">
        <f>SUMIF(Returns!$D$2:$D$119,A11,Returns!$F$2:$F$119)</f>
        <v/>
      </c>
      <c r="E11">
        <f>SUMIFS(Returns!$F$2:$F$119,Returns!$D$2:$D$119,A11,Returns!$G$2:$G$119,"Refund")+SUMIFS(Returns!$F$2:$F$119,Returns!$D$2:$D$119,A11,Returns!$G$2:$G$119,"Store credit")</f>
        <v/>
      </c>
      <c r="F11">
        <f>SUMIFS(Returns!$F$2:$F$119,Returns!$D$2:$D$119,A11,Returns!$G$2:$G$119,"Exchange")</f>
        <v/>
      </c>
      <c r="G11">
        <f>IF(C11=0,0,ROUND(D11/C11,4))</f>
        <v/>
      </c>
      <c r="H11">
        <f>SUMIF(Returns!$D$2:$D$119,A11,Returns!$I$2:$I$119)</f>
        <v/>
      </c>
    </row>
    <row r="12">
      <c r="A12" t="inlineStr">
        <is>
          <t>Total</t>
        </is>
      </c>
      <c r="C12">
        <f>SUM(C3:C11)</f>
        <v/>
      </c>
      <c r="D12">
        <f>SUM(D3:D11)</f>
        <v/>
      </c>
      <c r="E12">
        <f>SUM(E3:E11)</f>
        <v/>
      </c>
      <c r="F12">
        <f>SUM(F3:F11)</f>
        <v/>
      </c>
      <c r="G12">
        <f>IF(C12=0,0,ROUND(D12/C12,4))</f>
        <v/>
      </c>
      <c r="H12">
        <f>SUM(H3:H11)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2" t="inlineStr">
        <is>
          <t>Reason</t>
        </is>
      </c>
      <c r="B1" s="2" t="inlineStr">
        <is>
          <t>Units returned</t>
        </is>
      </c>
      <c r="C1" s="2" t="inlineStr">
        <is>
          <t>Share</t>
        </is>
      </c>
    </row>
    <row r="2">
      <c r="A2" t="inlineStr">
        <is>
          <t>Sizing</t>
        </is>
      </c>
      <c r="B2">
        <f>SUMIF(Returns!$H$2:$H$119,A2,Returns!$F$2:$F$119)</f>
        <v/>
      </c>
      <c r="C2">
        <f>IF(Summary!$D$12=0,0,ROUND(B2/Summary!$D$12,4))</f>
        <v/>
      </c>
    </row>
    <row r="3">
      <c r="A3" t="inlineStr">
        <is>
          <t>Damaged</t>
        </is>
      </c>
      <c r="B3">
        <f>SUMIF(Returns!$H$2:$H$119,A3,Returns!$F$2:$F$119)</f>
        <v/>
      </c>
      <c r="C3">
        <f>IF(Summary!$D$12=0,0,ROUND(B3/Summary!$D$12,4))</f>
        <v/>
      </c>
    </row>
    <row r="4">
      <c r="A4" t="inlineStr">
        <is>
          <t>Not as described</t>
        </is>
      </c>
      <c r="B4">
        <f>SUMIF(Returns!$H$2:$H$119,A4,Returns!$F$2:$F$119)</f>
        <v/>
      </c>
      <c r="C4">
        <f>IF(Summary!$D$12=0,0,ROUND(B4/Summary!$D$12,4))</f>
        <v/>
      </c>
    </row>
    <row r="5">
      <c r="A5" t="inlineStr">
        <is>
          <t>Changed mind</t>
        </is>
      </c>
      <c r="B5">
        <f>SUMIF(Returns!$H$2:$H$119,A5,Returns!$F$2:$F$119)</f>
        <v/>
      </c>
      <c r="C5">
        <f>IF(Summary!$D$12=0,0,ROUND(B5/Summary!$D$12,4))</f>
        <v/>
      </c>
    </row>
    <row r="6">
      <c r="A6" t="inlineStr">
        <is>
          <t>Wrong item</t>
        </is>
      </c>
      <c r="B6">
        <f>SUMIF(Returns!$H$2:$H$119,A6,Returns!$F$2:$F$119)</f>
        <v/>
      </c>
      <c r="C6">
        <f>IF(Summary!$D$12=0,0,ROUND(B6/Summary!$D$12,4))</f>
        <v/>
      </c>
    </row>
    <row r="7">
      <c r="A7" t="inlineStr">
        <is>
          <t>Total</t>
        </is>
      </c>
      <c r="B7">
        <f>SUM(B2:B6)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1">
      <c r="A1" s="2" t="inlineStr">
        <is>
          <t>sku</t>
        </is>
      </c>
      <c r="B1" s="2" t="inlineStr">
        <is>
          <t>product</t>
        </is>
      </c>
      <c r="C1" s="2" t="inlineStr">
        <is>
          <t>units_sold</t>
        </is>
      </c>
    </row>
    <row r="2">
      <c r="A2" t="inlineStr">
        <is>
          <t>TJ-M-BLU</t>
        </is>
      </c>
      <c r="B2" t="inlineStr">
        <is>
          <t>Trail Jacket M</t>
        </is>
      </c>
      <c r="C2" t="n">
        <v>147</v>
      </c>
    </row>
    <row r="3">
      <c r="A3" t="inlineStr">
        <is>
          <t>TJ-L-BLU</t>
        </is>
      </c>
      <c r="B3" t="inlineStr">
        <is>
          <t>Trail Jacket L</t>
        </is>
      </c>
      <c r="C3" t="n">
        <v>120</v>
      </c>
    </row>
    <row r="4">
      <c r="A4" t="inlineStr">
        <is>
          <t>WS-3PK</t>
        </is>
      </c>
      <c r="B4" t="inlineStr">
        <is>
          <t>Wool Sock 3pk</t>
        </is>
      </c>
      <c r="C4" t="n">
        <v>140</v>
      </c>
    </row>
    <row r="5">
      <c r="A5" t="inlineStr">
        <is>
          <t>WB-1L</t>
        </is>
      </c>
      <c r="B5" t="inlineStr">
        <is>
          <t>Water Bottle 1L</t>
        </is>
      </c>
      <c r="C5" t="n">
        <v>125</v>
      </c>
    </row>
    <row r="6">
      <c r="A6" t="inlineStr">
        <is>
          <t>HL-300</t>
        </is>
      </c>
      <c r="B6" t="inlineStr">
        <is>
          <t>Headlamp 300lm</t>
        </is>
      </c>
      <c r="C6" t="n">
        <v>112</v>
      </c>
    </row>
    <row r="7">
      <c r="A7" t="inlineStr">
        <is>
          <t>CS-01</t>
        </is>
      </c>
      <c r="B7" t="inlineStr">
        <is>
          <t>Summit Stove</t>
        </is>
      </c>
      <c r="C7" t="n">
        <v>136</v>
      </c>
    </row>
    <row r="8">
      <c r="A8" t="inlineStr">
        <is>
          <t>TP-PR</t>
        </is>
      </c>
      <c r="B8" t="inlineStr">
        <is>
          <t>Trekking Pole pair</t>
        </is>
      </c>
      <c r="C8" t="n">
        <v>157</v>
      </c>
    </row>
    <row r="9">
      <c r="A9" t="inlineStr">
        <is>
          <t>DB-20</t>
        </is>
      </c>
      <c r="B9" t="inlineStr">
        <is>
          <t>Dry Bag 20L</t>
        </is>
      </c>
      <c r="C9" t="n">
        <v>137</v>
      </c>
    </row>
    <row r="10">
      <c r="A10" t="inlineStr">
        <is>
          <t>MC-01</t>
        </is>
      </c>
      <c r="B10" t="inlineStr">
        <is>
          <t>Map Case</t>
        </is>
      </c>
      <c r="C10" t="n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cols>
    <col width="12" customWidth="1" min="2" max="2"/>
    <col width="22" customWidth="1" min="5" max="5"/>
    <col width="18" customWidth="1" min="8" max="8"/>
  </cols>
  <sheetData>
    <row r="1">
      <c r="A1" s="2" t="inlineStr">
        <is>
          <t>rma_id</t>
        </is>
      </c>
      <c r="B1" s="2" t="inlineStr">
        <is>
          <t>return_date</t>
        </is>
      </c>
      <c r="C1" s="2" t="inlineStr">
        <is>
          <t>order_id</t>
        </is>
      </c>
      <c r="D1" s="2" t="inlineStr">
        <is>
          <t>sku</t>
        </is>
      </c>
      <c r="E1" s="2" t="inlineStr">
        <is>
          <t>product</t>
        </is>
      </c>
      <c r="F1" s="2" t="inlineStr">
        <is>
          <t>qty</t>
        </is>
      </c>
      <c r="G1" s="2" t="inlineStr">
        <is>
          <t>type</t>
        </is>
      </c>
      <c r="H1" s="2" t="inlineStr">
        <is>
          <t>reason_bucket</t>
        </is>
      </c>
      <c r="I1" s="2" t="inlineStr">
        <is>
          <t>refund_amount</t>
        </is>
      </c>
    </row>
    <row r="2">
      <c r="A2" t="inlineStr">
        <is>
          <t>RMA-7138</t>
        </is>
      </c>
      <c r="B2" s="3" t="n">
        <v>46119</v>
      </c>
      <c r="C2" t="inlineStr">
        <is>
          <t>ORD-30631</t>
        </is>
      </c>
      <c r="D2" t="inlineStr">
        <is>
          <t>TJ-M-BLU</t>
        </is>
      </c>
      <c r="E2" t="inlineStr">
        <is>
          <t>Trail Jacket M</t>
        </is>
      </c>
      <c r="F2" t="n">
        <v>1</v>
      </c>
      <c r="G2" t="inlineStr">
        <is>
          <t>Exchange</t>
        </is>
      </c>
      <c r="H2" t="inlineStr">
        <is>
          <t>Not as described</t>
        </is>
      </c>
      <c r="I2" t="n">
        <v>0</v>
      </c>
    </row>
    <row r="3">
      <c r="A3" t="inlineStr">
        <is>
          <t>RMA-7198</t>
        </is>
      </c>
      <c r="B3" s="3" t="n">
        <v>46119</v>
      </c>
      <c r="C3" t="inlineStr">
        <is>
          <t>ORD-30861</t>
        </is>
      </c>
      <c r="D3" t="inlineStr">
        <is>
          <t>DB-20</t>
        </is>
      </c>
      <c r="E3" t="inlineStr">
        <is>
          <t>Dry Bag 20L</t>
        </is>
      </c>
      <c r="F3" t="n">
        <v>1</v>
      </c>
      <c r="G3" t="inlineStr">
        <is>
          <t>Exchange</t>
        </is>
      </c>
      <c r="H3" t="inlineStr">
        <is>
          <t>Wrong item</t>
        </is>
      </c>
      <c r="I3" t="n">
        <v>0</v>
      </c>
    </row>
    <row r="4">
      <c r="A4" t="inlineStr">
        <is>
          <t>RMA-7212</t>
        </is>
      </c>
      <c r="B4" s="3" t="n">
        <v>46123</v>
      </c>
      <c r="C4" t="inlineStr">
        <is>
          <t>ORD-30928</t>
        </is>
      </c>
      <c r="D4" t="inlineStr">
        <is>
          <t>MC-01</t>
        </is>
      </c>
      <c r="E4" t="inlineStr">
        <is>
          <t>Map Case</t>
        </is>
      </c>
      <c r="F4" t="n">
        <v>1</v>
      </c>
      <c r="G4" t="inlineStr">
        <is>
          <t>Store credit</t>
        </is>
      </c>
      <c r="H4" t="inlineStr">
        <is>
          <t>Changed mind</t>
        </is>
      </c>
      <c r="I4" t="n">
        <v>14</v>
      </c>
    </row>
    <row r="5">
      <c r="A5" t="inlineStr">
        <is>
          <t>RMA-7235</t>
        </is>
      </c>
      <c r="B5" s="3" t="n">
        <v>46123</v>
      </c>
      <c r="C5" t="inlineStr">
        <is>
          <t>ORD-31100</t>
        </is>
      </c>
      <c r="D5" t="inlineStr">
        <is>
          <t>WS-3PK</t>
        </is>
      </c>
      <c r="E5" t="inlineStr">
        <is>
          <t>Wool Sock 3pk</t>
        </is>
      </c>
      <c r="F5" t="n">
        <v>1</v>
      </c>
      <c r="G5" t="inlineStr">
        <is>
          <t>Store credit</t>
        </is>
      </c>
      <c r="H5" t="inlineStr">
        <is>
          <t>Changed mind</t>
        </is>
      </c>
      <c r="I5" t="n">
        <v>24</v>
      </c>
    </row>
    <row r="6">
      <c r="A6" t="inlineStr">
        <is>
          <t>RMA-7190</t>
        </is>
      </c>
      <c r="B6" s="3" t="n">
        <v>46124</v>
      </c>
      <c r="C6" t="inlineStr">
        <is>
          <t>ORD-30834</t>
        </is>
      </c>
      <c r="D6" t="inlineStr">
        <is>
          <t>MC-01</t>
        </is>
      </c>
      <c r="E6" t="inlineStr">
        <is>
          <t>Map Case</t>
        </is>
      </c>
      <c r="F6" t="n">
        <v>1</v>
      </c>
      <c r="G6" t="inlineStr">
        <is>
          <t>Refund</t>
        </is>
      </c>
      <c r="H6" t="inlineStr">
        <is>
          <t>Damaged</t>
        </is>
      </c>
      <c r="I6" t="n">
        <v>14</v>
      </c>
    </row>
    <row r="7">
      <c r="A7" t="inlineStr">
        <is>
          <t>RMA-7112</t>
        </is>
      </c>
      <c r="B7" s="3" t="n">
        <v>46126</v>
      </c>
      <c r="C7" t="inlineStr">
        <is>
          <t>ORD-30483</t>
        </is>
      </c>
      <c r="D7" t="inlineStr">
        <is>
          <t>MC-01</t>
        </is>
      </c>
      <c r="E7" t="inlineStr">
        <is>
          <t>Map Case</t>
        </is>
      </c>
      <c r="F7" t="n">
        <v>1</v>
      </c>
      <c r="G7" t="inlineStr">
        <is>
          <t>Exchange</t>
        </is>
      </c>
      <c r="H7" t="inlineStr">
        <is>
          <t>Wrong item</t>
        </is>
      </c>
      <c r="I7" t="n">
        <v>0</v>
      </c>
    </row>
    <row r="8">
      <c r="A8" t="inlineStr">
        <is>
          <t>RMA-7174</t>
        </is>
      </c>
      <c r="B8" s="3" t="n">
        <v>46127</v>
      </c>
      <c r="C8" t="inlineStr">
        <is>
          <t>ORD-30775</t>
        </is>
      </c>
      <c r="D8" t="inlineStr">
        <is>
          <t>WS-3PK</t>
        </is>
      </c>
      <c r="E8" t="inlineStr">
        <is>
          <t>Wool Sock 3pk</t>
        </is>
      </c>
      <c r="F8" t="n">
        <v>1</v>
      </c>
      <c r="G8" t="inlineStr">
        <is>
          <t>Exchange</t>
        </is>
      </c>
      <c r="H8" t="inlineStr">
        <is>
          <t>Changed mind</t>
        </is>
      </c>
      <c r="I8" t="n">
        <v>0</v>
      </c>
    </row>
    <row r="9">
      <c r="A9" t="inlineStr">
        <is>
          <t>RMA-7197</t>
        </is>
      </c>
      <c r="B9" s="3" t="n">
        <v>46127</v>
      </c>
      <c r="C9" t="inlineStr">
        <is>
          <t>ORD-30858</t>
        </is>
      </c>
      <c r="D9" t="inlineStr">
        <is>
          <t>CS-01</t>
        </is>
      </c>
      <c r="E9" t="inlineStr">
        <is>
          <t>Summit Stove</t>
        </is>
      </c>
      <c r="F9" t="n">
        <v>1</v>
      </c>
      <c r="G9" t="inlineStr">
        <is>
          <t>Refund</t>
        </is>
      </c>
      <c r="H9" t="inlineStr">
        <is>
          <t>Damaged</t>
        </is>
      </c>
      <c r="I9" t="n">
        <v>89</v>
      </c>
    </row>
    <row r="10">
      <c r="A10" t="inlineStr">
        <is>
          <t>RMA-7199</t>
        </is>
      </c>
      <c r="B10" s="3" t="n">
        <v>46127</v>
      </c>
      <c r="C10" t="inlineStr">
        <is>
          <t>ORD-30862</t>
        </is>
      </c>
      <c r="D10" t="inlineStr">
        <is>
          <t>TJ-M-BLU</t>
        </is>
      </c>
      <c r="E10" t="inlineStr">
        <is>
          <t>Trail Jacket M</t>
        </is>
      </c>
      <c r="F10" t="n">
        <v>1</v>
      </c>
      <c r="G10" t="inlineStr">
        <is>
          <t>Store credit</t>
        </is>
      </c>
      <c r="H10" t="inlineStr">
        <is>
          <t>Sizing</t>
        </is>
      </c>
      <c r="I10" t="n">
        <v>129</v>
      </c>
    </row>
    <row r="11">
      <c r="A11" t="inlineStr">
        <is>
          <t>RMA-7132</t>
        </is>
      </c>
      <c r="B11" s="3" t="n">
        <v>46129</v>
      </c>
      <c r="C11" t="inlineStr">
        <is>
          <t>ORD-30598</t>
        </is>
      </c>
      <c r="D11" t="inlineStr">
        <is>
          <t>TJ-M-BLU</t>
        </is>
      </c>
      <c r="E11" t="inlineStr">
        <is>
          <t>Trail Jacket M</t>
        </is>
      </c>
      <c r="F11" t="n">
        <v>1</v>
      </c>
      <c r="G11" t="inlineStr">
        <is>
          <t>Store credit</t>
        </is>
      </c>
      <c r="H11" t="inlineStr">
        <is>
          <t>Sizing</t>
        </is>
      </c>
      <c r="I11" t="n">
        <v>129</v>
      </c>
    </row>
    <row r="12">
      <c r="A12" t="inlineStr">
        <is>
          <t>RMA-7126</t>
        </is>
      </c>
      <c r="B12" s="3" t="n">
        <v>46130</v>
      </c>
      <c r="C12" t="inlineStr">
        <is>
          <t>ORD-30564</t>
        </is>
      </c>
      <c r="D12" t="inlineStr">
        <is>
          <t>DB-20</t>
        </is>
      </c>
      <c r="E12" t="inlineStr">
        <is>
          <t>Dry Bag 20L</t>
        </is>
      </c>
      <c r="F12" t="n">
        <v>1</v>
      </c>
      <c r="G12" t="inlineStr">
        <is>
          <t>Refund</t>
        </is>
      </c>
      <c r="H12" t="inlineStr">
        <is>
          <t>Sizing</t>
        </is>
      </c>
      <c r="I12" t="n">
        <v>29</v>
      </c>
    </row>
    <row r="13">
      <c r="A13" t="inlineStr">
        <is>
          <t>RMA-7155</t>
        </is>
      </c>
      <c r="B13" s="3" t="n">
        <v>46130</v>
      </c>
      <c r="C13" t="inlineStr">
        <is>
          <t>ORD-30690</t>
        </is>
      </c>
      <c r="D13" t="inlineStr">
        <is>
          <t>TJ-L-BLU</t>
        </is>
      </c>
      <c r="E13" t="inlineStr">
        <is>
          <t>Trail Jacket L</t>
        </is>
      </c>
      <c r="F13" t="n">
        <v>2</v>
      </c>
      <c r="G13" t="inlineStr">
        <is>
          <t>Exchange</t>
        </is>
      </c>
      <c r="H13" t="inlineStr">
        <is>
          <t>Changed mind</t>
        </is>
      </c>
      <c r="I13" t="n">
        <v>0</v>
      </c>
    </row>
    <row r="14">
      <c r="A14" t="inlineStr">
        <is>
          <t>RMA-7108</t>
        </is>
      </c>
      <c r="B14" s="3" t="n">
        <v>46131</v>
      </c>
      <c r="C14" t="inlineStr">
        <is>
          <t>ORD-30456</t>
        </is>
      </c>
      <c r="D14" t="inlineStr">
        <is>
          <t>TJ-L-BLU</t>
        </is>
      </c>
      <c r="E14" t="inlineStr">
        <is>
          <t>Trail Jacket L</t>
        </is>
      </c>
      <c r="F14" t="n">
        <v>1</v>
      </c>
      <c r="G14" t="inlineStr">
        <is>
          <t>Exchange</t>
        </is>
      </c>
      <c r="H14" t="inlineStr">
        <is>
          <t>Not as described</t>
        </is>
      </c>
      <c r="I14" t="n">
        <v>0</v>
      </c>
    </row>
    <row r="15">
      <c r="A15" t="inlineStr">
        <is>
          <t>RMA-7123</t>
        </is>
      </c>
      <c r="B15" s="3" t="n">
        <v>46132</v>
      </c>
      <c r="C15" t="inlineStr">
        <is>
          <t>ORD-30549</t>
        </is>
      </c>
      <c r="D15" t="inlineStr">
        <is>
          <t>WB-1L</t>
        </is>
      </c>
      <c r="E15" t="inlineStr">
        <is>
          <t>Water Bottle 1L</t>
        </is>
      </c>
      <c r="F15" t="n">
        <v>1</v>
      </c>
      <c r="G15" t="inlineStr">
        <is>
          <t>Exchange</t>
        </is>
      </c>
      <c r="H15" t="inlineStr">
        <is>
          <t>Wrong item</t>
        </is>
      </c>
      <c r="I15" t="n">
        <v>0</v>
      </c>
    </row>
    <row r="16">
      <c r="A16" t="inlineStr">
        <is>
          <t>RMA-7215</t>
        </is>
      </c>
      <c r="B16" s="3" t="n">
        <v>46134</v>
      </c>
      <c r="C16" t="inlineStr">
        <is>
          <t>ORD-30957</t>
        </is>
      </c>
      <c r="D16" t="inlineStr">
        <is>
          <t>CS-01</t>
        </is>
      </c>
      <c r="E16" t="inlineStr">
        <is>
          <t>Summit Stove</t>
        </is>
      </c>
      <c r="F16" t="n">
        <v>1</v>
      </c>
      <c r="G16" t="inlineStr">
        <is>
          <t>Refund</t>
        </is>
      </c>
      <c r="H16" t="inlineStr">
        <is>
          <t>Damaged</t>
        </is>
      </c>
      <c r="I16" t="n">
        <v>89</v>
      </c>
    </row>
    <row r="17">
      <c r="A17" t="inlineStr">
        <is>
          <t>RMA-7228</t>
        </is>
      </c>
      <c r="B17" s="3" t="n">
        <v>46134</v>
      </c>
      <c r="C17" t="inlineStr">
        <is>
          <t>ORD-31029</t>
        </is>
      </c>
      <c r="D17" t="inlineStr">
        <is>
          <t>TJ-M-BLU</t>
        </is>
      </c>
      <c r="E17" t="inlineStr">
        <is>
          <t>Trail Jacket M</t>
        </is>
      </c>
      <c r="F17" t="n">
        <v>1</v>
      </c>
      <c r="G17" t="inlineStr">
        <is>
          <t>Exchange</t>
        </is>
      </c>
      <c r="H17" t="inlineStr">
        <is>
          <t>Not as described</t>
        </is>
      </c>
      <c r="I17" t="n">
        <v>0</v>
      </c>
    </row>
    <row r="18">
      <c r="A18" t="inlineStr">
        <is>
          <t>RMA-7217</t>
        </is>
      </c>
      <c r="B18" s="3" t="n">
        <v>46135</v>
      </c>
      <c r="C18" t="inlineStr">
        <is>
          <t>ORD-30960</t>
        </is>
      </c>
      <c r="D18" t="inlineStr">
        <is>
          <t>TP-PR</t>
        </is>
      </c>
      <c r="E18" t="inlineStr">
        <is>
          <t>Trekking Pole pair</t>
        </is>
      </c>
      <c r="F18" t="n">
        <v>1</v>
      </c>
      <c r="G18" t="inlineStr">
        <is>
          <t>Refund</t>
        </is>
      </c>
      <c r="H18" t="inlineStr">
        <is>
          <t>Damaged</t>
        </is>
      </c>
      <c r="I18" t="n">
        <v>79</v>
      </c>
    </row>
    <row r="19">
      <c r="A19" t="inlineStr">
        <is>
          <t>RMA-7241</t>
        </is>
      </c>
      <c r="B19" s="3" t="n">
        <v>46135</v>
      </c>
      <c r="C19" t="inlineStr">
        <is>
          <t>ORD-31120</t>
        </is>
      </c>
      <c r="D19" t="inlineStr">
        <is>
          <t>TP-PR</t>
        </is>
      </c>
      <c r="E19" t="inlineStr">
        <is>
          <t>Trekking Pole pair</t>
        </is>
      </c>
      <c r="F19" t="n">
        <v>2</v>
      </c>
      <c r="G19" t="inlineStr">
        <is>
          <t>Refund</t>
        </is>
      </c>
      <c r="H19" t="inlineStr">
        <is>
          <t>Damaged</t>
        </is>
      </c>
      <c r="I19" t="n">
        <v>158</v>
      </c>
    </row>
    <row r="20">
      <c r="A20" t="inlineStr">
        <is>
          <t>RMA-7239</t>
        </is>
      </c>
      <c r="B20" s="3" t="n">
        <v>46136</v>
      </c>
      <c r="C20" t="inlineStr">
        <is>
          <t>ORD-31117</t>
        </is>
      </c>
      <c r="D20" t="inlineStr">
        <is>
          <t>WS-3PK</t>
        </is>
      </c>
      <c r="E20" t="inlineStr">
        <is>
          <t>Wool Sock 3pk</t>
        </is>
      </c>
      <c r="F20" t="n">
        <v>2</v>
      </c>
      <c r="G20" t="inlineStr">
        <is>
          <t>Exchange</t>
        </is>
      </c>
      <c r="H20" t="inlineStr">
        <is>
          <t>Changed mind</t>
        </is>
      </c>
      <c r="I20" t="n">
        <v>0</v>
      </c>
    </row>
    <row r="21">
      <c r="A21" t="inlineStr">
        <is>
          <t>RMA-7176</t>
        </is>
      </c>
      <c r="B21" s="3" t="n">
        <v>46139</v>
      </c>
      <c r="C21" t="inlineStr">
        <is>
          <t>ORD-30792</t>
        </is>
      </c>
      <c r="D21" t="inlineStr">
        <is>
          <t>CS-01</t>
        </is>
      </c>
      <c r="E21" t="inlineStr">
        <is>
          <t>Summit Stove</t>
        </is>
      </c>
      <c r="F21" t="n">
        <v>1</v>
      </c>
      <c r="G21" t="inlineStr">
        <is>
          <t>Refund</t>
        </is>
      </c>
      <c r="H21" t="inlineStr">
        <is>
          <t>Damaged</t>
        </is>
      </c>
      <c r="I21" t="n">
        <v>89</v>
      </c>
    </row>
    <row r="22">
      <c r="A22" t="inlineStr">
        <is>
          <t>RMA-7182</t>
        </is>
      </c>
      <c r="B22" s="3" t="n">
        <v>46139</v>
      </c>
      <c r="C22" t="inlineStr">
        <is>
          <t>ORD-30807</t>
        </is>
      </c>
      <c r="D22" t="inlineStr">
        <is>
          <t>WB-1L</t>
        </is>
      </c>
      <c r="E22" t="inlineStr">
        <is>
          <t>Water Bottle 1L</t>
        </is>
      </c>
      <c r="F22" t="n">
        <v>1</v>
      </c>
      <c r="G22" t="inlineStr">
        <is>
          <t>Exchange</t>
        </is>
      </c>
      <c r="H22" t="inlineStr">
        <is>
          <t>Damaged</t>
        </is>
      </c>
      <c r="I22" t="n">
        <v>0</v>
      </c>
    </row>
    <row r="23">
      <c r="A23" t="inlineStr">
        <is>
          <t>RMA-7246</t>
        </is>
      </c>
      <c r="B23" s="3" t="n">
        <v>46139</v>
      </c>
      <c r="C23" t="inlineStr">
        <is>
          <t>ORD-31136</t>
        </is>
      </c>
      <c r="D23" t="inlineStr">
        <is>
          <t>TP-PR</t>
        </is>
      </c>
      <c r="E23" t="inlineStr">
        <is>
          <t>Trekking Pole pair</t>
        </is>
      </c>
      <c r="F23" t="n">
        <v>1</v>
      </c>
      <c r="G23" t="inlineStr">
        <is>
          <t>Refund</t>
        </is>
      </c>
      <c r="H23" t="inlineStr">
        <is>
          <t>Wrong item</t>
        </is>
      </c>
      <c r="I23" t="n">
        <v>79</v>
      </c>
    </row>
    <row r="24">
      <c r="A24" t="inlineStr">
        <is>
          <t>RMA-7110</t>
        </is>
      </c>
      <c r="B24" s="3" t="n">
        <v>46141</v>
      </c>
      <c r="C24" t="inlineStr">
        <is>
          <t>ORD-30481</t>
        </is>
      </c>
      <c r="D24" t="inlineStr">
        <is>
          <t>TJ-L-BLU</t>
        </is>
      </c>
      <c r="E24" t="inlineStr">
        <is>
          <t>Trail Jacket L</t>
        </is>
      </c>
      <c r="F24" t="n">
        <v>1</v>
      </c>
      <c r="G24" t="inlineStr">
        <is>
          <t>Exchange</t>
        </is>
      </c>
      <c r="H24" t="inlineStr">
        <is>
          <t>Sizing</t>
        </is>
      </c>
      <c r="I24" t="n">
        <v>0</v>
      </c>
    </row>
    <row r="25">
      <c r="A25" t="inlineStr">
        <is>
          <t>RMA-7210</t>
        </is>
      </c>
      <c r="B25" s="3" t="n">
        <v>46141</v>
      </c>
      <c r="C25" t="inlineStr">
        <is>
          <t>ORD-30918</t>
        </is>
      </c>
      <c r="D25" t="inlineStr">
        <is>
          <t>MC-01</t>
        </is>
      </c>
      <c r="E25" t="inlineStr">
        <is>
          <t>Map Case</t>
        </is>
      </c>
      <c r="F25" t="n">
        <v>1</v>
      </c>
      <c r="G25" t="inlineStr">
        <is>
          <t>Exchange</t>
        </is>
      </c>
      <c r="H25" t="inlineStr">
        <is>
          <t>Sizing</t>
        </is>
      </c>
      <c r="I25" t="n">
        <v>0</v>
      </c>
    </row>
    <row r="26">
      <c r="A26" t="inlineStr">
        <is>
          <t>RMA-7124</t>
        </is>
      </c>
      <c r="B26" s="3" t="n">
        <v>46142</v>
      </c>
      <c r="C26" t="inlineStr">
        <is>
          <t>ORD-30551</t>
        </is>
      </c>
      <c r="D26" t="inlineStr">
        <is>
          <t>WB-1L</t>
        </is>
      </c>
      <c r="E26" t="inlineStr">
        <is>
          <t>Water Bottle 1L</t>
        </is>
      </c>
      <c r="F26" t="n">
        <v>1</v>
      </c>
      <c r="G26" t="inlineStr">
        <is>
          <t>Refund</t>
        </is>
      </c>
      <c r="H26" t="inlineStr">
        <is>
          <t>Damaged</t>
        </is>
      </c>
      <c r="I26" t="n">
        <v>32</v>
      </c>
    </row>
    <row r="27">
      <c r="A27" t="inlineStr">
        <is>
          <t>RMA-7205</t>
        </is>
      </c>
      <c r="B27" s="3" t="n">
        <v>46143</v>
      </c>
      <c r="C27" t="inlineStr">
        <is>
          <t>ORD-30897</t>
        </is>
      </c>
      <c r="D27" t="inlineStr">
        <is>
          <t>TP-PR</t>
        </is>
      </c>
      <c r="E27" t="inlineStr">
        <is>
          <t>Trekking Pole pair</t>
        </is>
      </c>
      <c r="F27" t="n">
        <v>1</v>
      </c>
      <c r="G27" t="inlineStr">
        <is>
          <t>Store credit</t>
        </is>
      </c>
      <c r="H27" t="inlineStr">
        <is>
          <t>Not as described</t>
        </is>
      </c>
      <c r="I27" t="n">
        <v>79</v>
      </c>
    </row>
    <row r="28">
      <c r="A28" t="inlineStr">
        <is>
          <t>RMA-7221</t>
        </is>
      </c>
      <c r="B28" s="3" t="n">
        <v>46145</v>
      </c>
      <c r="C28" t="inlineStr">
        <is>
          <t>ORD-30980</t>
        </is>
      </c>
      <c r="D28" t="inlineStr">
        <is>
          <t>DB-20</t>
        </is>
      </c>
      <c r="E28" t="inlineStr">
        <is>
          <t>Dry Bag 20L</t>
        </is>
      </c>
      <c r="F28" t="n">
        <v>3</v>
      </c>
      <c r="G28" t="inlineStr">
        <is>
          <t>Exchange</t>
        </is>
      </c>
      <c r="H28" t="inlineStr">
        <is>
          <t>Damaged</t>
        </is>
      </c>
      <c r="I28" t="n">
        <v>0</v>
      </c>
    </row>
    <row r="29">
      <c r="A29" t="inlineStr">
        <is>
          <t>RMA-7113</t>
        </is>
      </c>
      <c r="B29" s="3" t="n">
        <v>46146</v>
      </c>
      <c r="C29" t="inlineStr">
        <is>
          <t>ORD-30486</t>
        </is>
      </c>
      <c r="D29" t="inlineStr">
        <is>
          <t>TP-PR</t>
        </is>
      </c>
      <c r="E29" t="inlineStr">
        <is>
          <t>Trekking Pole pair</t>
        </is>
      </c>
      <c r="F29" t="n">
        <v>1</v>
      </c>
      <c r="G29" t="inlineStr">
        <is>
          <t>Exchange</t>
        </is>
      </c>
      <c r="H29" t="inlineStr">
        <is>
          <t>Changed mind</t>
        </is>
      </c>
      <c r="I29" t="n">
        <v>0</v>
      </c>
    </row>
    <row r="30">
      <c r="A30" t="inlineStr">
        <is>
          <t>RMA-7139</t>
        </is>
      </c>
      <c r="B30" s="3" t="n">
        <v>46146</v>
      </c>
      <c r="C30" t="inlineStr">
        <is>
          <t>ORD-30632</t>
        </is>
      </c>
      <c r="D30" t="inlineStr">
        <is>
          <t>HL-300</t>
        </is>
      </c>
      <c r="E30" t="inlineStr">
        <is>
          <t>Headlamp 300lm</t>
        </is>
      </c>
      <c r="F30" t="n">
        <v>1</v>
      </c>
      <c r="G30" t="inlineStr">
        <is>
          <t>Store credit</t>
        </is>
      </c>
      <c r="H30" t="inlineStr">
        <is>
          <t>Damaged</t>
        </is>
      </c>
      <c r="I30" t="n">
        <v>45</v>
      </c>
    </row>
    <row r="31">
      <c r="A31" t="inlineStr">
        <is>
          <t>RMA-7242</t>
        </is>
      </c>
      <c r="B31" s="3" t="n">
        <v>46146</v>
      </c>
      <c r="C31" t="inlineStr">
        <is>
          <t>ORD-31127</t>
        </is>
      </c>
      <c r="D31" t="inlineStr">
        <is>
          <t>TJ-M-BLU</t>
        </is>
      </c>
      <c r="E31" t="inlineStr">
        <is>
          <t>Trail Jacket M</t>
        </is>
      </c>
      <c r="F31" t="n">
        <v>1</v>
      </c>
      <c r="G31" t="inlineStr">
        <is>
          <t>Store credit</t>
        </is>
      </c>
      <c r="H31" t="inlineStr">
        <is>
          <t>Sizing</t>
        </is>
      </c>
      <c r="I31" t="n">
        <v>129</v>
      </c>
    </row>
    <row r="32">
      <c r="A32" t="inlineStr">
        <is>
          <t>RMA-7245</t>
        </is>
      </c>
      <c r="B32" s="3" t="n">
        <v>46146</v>
      </c>
      <c r="C32" t="inlineStr">
        <is>
          <t>ORD-31133</t>
        </is>
      </c>
      <c r="D32" t="inlineStr">
        <is>
          <t>DB-20</t>
        </is>
      </c>
      <c r="E32" t="inlineStr">
        <is>
          <t>Dry Bag 20L</t>
        </is>
      </c>
      <c r="F32" t="n">
        <v>1</v>
      </c>
      <c r="G32" t="inlineStr">
        <is>
          <t>Refund</t>
        </is>
      </c>
      <c r="H32" t="inlineStr">
        <is>
          <t>Changed mind</t>
        </is>
      </c>
      <c r="I32" t="n">
        <v>29</v>
      </c>
    </row>
    <row r="33">
      <c r="A33" t="inlineStr">
        <is>
          <t>RMA-7230</t>
        </is>
      </c>
      <c r="B33" s="3" t="n">
        <v>46147</v>
      </c>
      <c r="C33" t="inlineStr">
        <is>
          <t>ORD-31065</t>
        </is>
      </c>
      <c r="D33" t="inlineStr">
        <is>
          <t>WS-3PK</t>
        </is>
      </c>
      <c r="E33" t="inlineStr">
        <is>
          <t>Wool Sock 3pk</t>
        </is>
      </c>
      <c r="F33" t="n">
        <v>1</v>
      </c>
      <c r="G33" t="inlineStr">
        <is>
          <t>Refund</t>
        </is>
      </c>
      <c r="H33" t="inlineStr">
        <is>
          <t>Damaged</t>
        </is>
      </c>
      <c r="I33" t="n">
        <v>24</v>
      </c>
    </row>
    <row r="34">
      <c r="A34" t="inlineStr">
        <is>
          <t>RMA-7216</t>
        </is>
      </c>
      <c r="B34" s="3" t="n">
        <v>46149</v>
      </c>
      <c r="C34" t="inlineStr">
        <is>
          <t>ORD-30958</t>
        </is>
      </c>
      <c r="D34" t="inlineStr">
        <is>
          <t>HL-300</t>
        </is>
      </c>
      <c r="E34" t="inlineStr">
        <is>
          <t>Headlamp 300lm</t>
        </is>
      </c>
      <c r="F34" t="n">
        <v>1</v>
      </c>
      <c r="G34" t="inlineStr">
        <is>
          <t>Refund</t>
        </is>
      </c>
      <c r="H34" t="inlineStr">
        <is>
          <t>Changed mind</t>
        </is>
      </c>
      <c r="I34" t="n">
        <v>45</v>
      </c>
    </row>
    <row r="35">
      <c r="A35" t="inlineStr">
        <is>
          <t>RMA-7119</t>
        </is>
      </c>
      <c r="B35" s="3" t="n">
        <v>46150</v>
      </c>
      <c r="C35" t="inlineStr">
        <is>
          <t>ORD-30518</t>
        </is>
      </c>
      <c r="D35" t="inlineStr">
        <is>
          <t>TJ-L-BLU</t>
        </is>
      </c>
      <c r="E35" t="inlineStr">
        <is>
          <t>Trail Jacket L</t>
        </is>
      </c>
      <c r="F35" t="n">
        <v>1</v>
      </c>
      <c r="G35" t="inlineStr">
        <is>
          <t>Exchange</t>
        </is>
      </c>
      <c r="H35" t="inlineStr">
        <is>
          <t>Wrong item</t>
        </is>
      </c>
      <c r="I35" t="n">
        <v>0</v>
      </c>
    </row>
    <row r="36">
      <c r="A36" t="inlineStr">
        <is>
          <t>RMA-7194</t>
        </is>
      </c>
      <c r="B36" s="3" t="n">
        <v>46150</v>
      </c>
      <c r="C36" t="inlineStr">
        <is>
          <t>ORD-30851</t>
        </is>
      </c>
      <c r="D36" t="inlineStr">
        <is>
          <t>TP-PR</t>
        </is>
      </c>
      <c r="E36" t="inlineStr">
        <is>
          <t>Trekking Pole pair</t>
        </is>
      </c>
      <c r="F36" t="n">
        <v>1</v>
      </c>
      <c r="G36" t="inlineStr">
        <is>
          <t>Refund</t>
        </is>
      </c>
      <c r="H36" t="inlineStr">
        <is>
          <t>Changed mind</t>
        </is>
      </c>
      <c r="I36" t="n">
        <v>79</v>
      </c>
    </row>
    <row r="37">
      <c r="A37" t="inlineStr">
        <is>
          <t>RMA-7214</t>
        </is>
      </c>
      <c r="B37" s="3" t="n">
        <v>46150</v>
      </c>
      <c r="C37" t="inlineStr">
        <is>
          <t>ORD-30936</t>
        </is>
      </c>
      <c r="D37" t="inlineStr">
        <is>
          <t>TP-PR</t>
        </is>
      </c>
      <c r="E37" t="inlineStr">
        <is>
          <t>Trekking Pole pair</t>
        </is>
      </c>
      <c r="F37" t="n">
        <v>1</v>
      </c>
      <c r="G37" t="inlineStr">
        <is>
          <t>Refund</t>
        </is>
      </c>
      <c r="H37" t="inlineStr">
        <is>
          <t>Wrong item</t>
        </is>
      </c>
      <c r="I37" t="n">
        <v>79</v>
      </c>
    </row>
    <row r="38">
      <c r="A38" t="inlineStr">
        <is>
          <t>RMA-7177</t>
        </is>
      </c>
      <c r="B38" s="3" t="n">
        <v>46151</v>
      </c>
      <c r="C38" t="inlineStr">
        <is>
          <t>ORD-30798</t>
        </is>
      </c>
      <c r="D38" t="inlineStr">
        <is>
          <t>HL-300</t>
        </is>
      </c>
      <c r="E38" t="inlineStr">
        <is>
          <t>Headlamp 300lm</t>
        </is>
      </c>
      <c r="F38" t="n">
        <v>2</v>
      </c>
      <c r="G38" t="inlineStr">
        <is>
          <t>Refund</t>
        </is>
      </c>
      <c r="H38" t="inlineStr">
        <is>
          <t>Damaged</t>
        </is>
      </c>
      <c r="I38" t="n">
        <v>90</v>
      </c>
    </row>
    <row r="39">
      <c r="A39" t="inlineStr">
        <is>
          <t>RMA-7251</t>
        </is>
      </c>
      <c r="B39" s="3" t="n">
        <v>46152</v>
      </c>
      <c r="C39" t="inlineStr">
        <is>
          <t>ORD-31157</t>
        </is>
      </c>
      <c r="D39" t="inlineStr">
        <is>
          <t>CS-01</t>
        </is>
      </c>
      <c r="E39" t="inlineStr">
        <is>
          <t>Summit Stove</t>
        </is>
      </c>
      <c r="F39" t="n">
        <v>1</v>
      </c>
      <c r="G39" t="inlineStr">
        <is>
          <t>Refund</t>
        </is>
      </c>
      <c r="H39" t="inlineStr">
        <is>
          <t>Damaged</t>
        </is>
      </c>
      <c r="I39" t="n">
        <v>89</v>
      </c>
    </row>
    <row r="40">
      <c r="A40" t="inlineStr">
        <is>
          <t>RMA-7163</t>
        </is>
      </c>
      <c r="B40" s="3" t="n">
        <v>46153</v>
      </c>
      <c r="C40" t="inlineStr">
        <is>
          <t>ORD-30736</t>
        </is>
      </c>
      <c r="D40" t="inlineStr">
        <is>
          <t>WS-3PK</t>
        </is>
      </c>
      <c r="E40" t="inlineStr">
        <is>
          <t>Wool Sock 3pk</t>
        </is>
      </c>
      <c r="F40" t="n">
        <v>1</v>
      </c>
      <c r="G40" t="inlineStr">
        <is>
          <t>Refund</t>
        </is>
      </c>
      <c r="H40" t="inlineStr">
        <is>
          <t>Damaged</t>
        </is>
      </c>
      <c r="I40" t="n">
        <v>24</v>
      </c>
    </row>
    <row r="41">
      <c r="A41" t="inlineStr">
        <is>
          <t>RMA-7236</t>
        </is>
      </c>
      <c r="B41" s="3" t="n">
        <v>46153</v>
      </c>
      <c r="C41" t="inlineStr">
        <is>
          <t>ORD-31101</t>
        </is>
      </c>
      <c r="D41" t="inlineStr">
        <is>
          <t>DB-20</t>
        </is>
      </c>
      <c r="E41" t="inlineStr">
        <is>
          <t>Dry Bag 20L</t>
        </is>
      </c>
      <c r="F41" t="n">
        <v>1</v>
      </c>
      <c r="G41" t="inlineStr">
        <is>
          <t>Refund</t>
        </is>
      </c>
      <c r="H41" t="inlineStr">
        <is>
          <t>Changed mind</t>
        </is>
      </c>
      <c r="I41" t="n">
        <v>29</v>
      </c>
    </row>
    <row r="42">
      <c r="A42" t="inlineStr">
        <is>
          <t>RMA-7169</t>
        </is>
      </c>
      <c r="B42" s="3" t="n">
        <v>46154</v>
      </c>
      <c r="C42" t="inlineStr">
        <is>
          <t>ORD-30760</t>
        </is>
      </c>
      <c r="D42" t="inlineStr">
        <is>
          <t>WS-3PK</t>
        </is>
      </c>
      <c r="E42" t="inlineStr">
        <is>
          <t>Wool Sock 3pk</t>
        </is>
      </c>
      <c r="F42" t="n">
        <v>1</v>
      </c>
      <c r="G42" t="inlineStr">
        <is>
          <t>Store credit</t>
        </is>
      </c>
      <c r="H42" t="inlineStr">
        <is>
          <t>Damaged</t>
        </is>
      </c>
      <c r="I42" t="n">
        <v>24</v>
      </c>
    </row>
    <row r="43">
      <c r="A43" t="inlineStr">
        <is>
          <t>RMA-7172</t>
        </is>
      </c>
      <c r="B43" s="3" t="n">
        <v>46154</v>
      </c>
      <c r="C43" t="inlineStr">
        <is>
          <t>ORD-30772</t>
        </is>
      </c>
      <c r="D43" t="inlineStr">
        <is>
          <t>TJ-M-BLU</t>
        </is>
      </c>
      <c r="E43" t="inlineStr">
        <is>
          <t>Trail Jacket M</t>
        </is>
      </c>
      <c r="F43" t="n">
        <v>1</v>
      </c>
      <c r="G43" t="inlineStr">
        <is>
          <t>Exchange</t>
        </is>
      </c>
      <c r="H43" t="inlineStr">
        <is>
          <t>Sizing</t>
        </is>
      </c>
      <c r="I43" t="n">
        <v>0</v>
      </c>
    </row>
    <row r="44">
      <c r="A44" t="inlineStr">
        <is>
          <t>RMA-7238</t>
        </is>
      </c>
      <c r="B44" s="3" t="n">
        <v>46155</v>
      </c>
      <c r="C44" t="inlineStr">
        <is>
          <t>ORD-31111</t>
        </is>
      </c>
      <c r="D44" t="inlineStr">
        <is>
          <t>WS-3PK</t>
        </is>
      </c>
      <c r="E44" t="inlineStr">
        <is>
          <t>Wool Sock 3pk</t>
        </is>
      </c>
      <c r="F44" t="n">
        <v>1</v>
      </c>
      <c r="G44" t="inlineStr">
        <is>
          <t>Store credit</t>
        </is>
      </c>
      <c r="H44" t="inlineStr">
        <is>
          <t>Sizing</t>
        </is>
      </c>
      <c r="I44" t="n">
        <v>24</v>
      </c>
    </row>
    <row r="45">
      <c r="A45" t="inlineStr">
        <is>
          <t>RMA-7255</t>
        </is>
      </c>
      <c r="B45" s="3" t="n">
        <v>46156</v>
      </c>
      <c r="C45" t="inlineStr">
        <is>
          <t>ORD-31169</t>
        </is>
      </c>
      <c r="D45" t="inlineStr">
        <is>
          <t>TJ-M-BLU</t>
        </is>
      </c>
      <c r="E45" t="inlineStr">
        <is>
          <t>Trail Jacket M</t>
        </is>
      </c>
      <c r="F45" t="n">
        <v>1</v>
      </c>
      <c r="G45" t="inlineStr">
        <is>
          <t>Exchange</t>
        </is>
      </c>
      <c r="H45" t="inlineStr">
        <is>
          <t>Not as described</t>
        </is>
      </c>
      <c r="I45" t="n">
        <v>0</v>
      </c>
    </row>
    <row r="46">
      <c r="A46" t="inlineStr">
        <is>
          <t>RMA-7153</t>
        </is>
      </c>
      <c r="B46" s="3" t="n">
        <v>46158</v>
      </c>
      <c r="C46" t="inlineStr">
        <is>
          <t>ORD-30689</t>
        </is>
      </c>
      <c r="D46" t="inlineStr">
        <is>
          <t>WS-3PK</t>
        </is>
      </c>
      <c r="E46" t="inlineStr">
        <is>
          <t>Wool Sock 3pk</t>
        </is>
      </c>
      <c r="F46" t="n">
        <v>1</v>
      </c>
      <c r="G46" t="inlineStr">
        <is>
          <t>Exchange</t>
        </is>
      </c>
      <c r="H46" t="inlineStr">
        <is>
          <t>Wrong item</t>
        </is>
      </c>
      <c r="I46" t="n">
        <v>0</v>
      </c>
    </row>
    <row r="47">
      <c r="A47" t="inlineStr">
        <is>
          <t>RMA-7175</t>
        </is>
      </c>
      <c r="B47" s="3" t="n">
        <v>46159</v>
      </c>
      <c r="C47" t="inlineStr">
        <is>
          <t>ORD-30784</t>
        </is>
      </c>
      <c r="D47" t="inlineStr">
        <is>
          <t>HL-300</t>
        </is>
      </c>
      <c r="E47" t="inlineStr">
        <is>
          <t>Headlamp 300lm</t>
        </is>
      </c>
      <c r="F47" t="n">
        <v>1</v>
      </c>
      <c r="G47" t="inlineStr">
        <is>
          <t>Refund</t>
        </is>
      </c>
      <c r="H47" t="inlineStr">
        <is>
          <t>Not as described</t>
        </is>
      </c>
      <c r="I47" t="n">
        <v>45</v>
      </c>
    </row>
    <row r="48">
      <c r="A48" t="inlineStr">
        <is>
          <t>RMA-7195</t>
        </is>
      </c>
      <c r="B48" s="3" t="n">
        <v>46159</v>
      </c>
      <c r="C48" t="inlineStr">
        <is>
          <t>ORD-30853</t>
        </is>
      </c>
      <c r="D48" t="inlineStr">
        <is>
          <t>TP-PR</t>
        </is>
      </c>
      <c r="E48" t="inlineStr">
        <is>
          <t>Trekking Pole pair</t>
        </is>
      </c>
      <c r="F48" t="n">
        <v>1</v>
      </c>
      <c r="G48" t="inlineStr">
        <is>
          <t>Exchange</t>
        </is>
      </c>
      <c r="H48" t="inlineStr">
        <is>
          <t>Damaged</t>
        </is>
      </c>
      <c r="I48" t="n">
        <v>0</v>
      </c>
    </row>
    <row r="49">
      <c r="A49" t="inlineStr">
        <is>
          <t>RMA-7167</t>
        </is>
      </c>
      <c r="B49" s="3" t="n">
        <v>46162</v>
      </c>
      <c r="C49" t="inlineStr">
        <is>
          <t>ORD-30751</t>
        </is>
      </c>
      <c r="D49" t="inlineStr">
        <is>
          <t>WS-3PK</t>
        </is>
      </c>
      <c r="E49" t="inlineStr">
        <is>
          <t>Wool Sock 3pk</t>
        </is>
      </c>
      <c r="F49" t="n">
        <v>1</v>
      </c>
      <c r="G49" t="inlineStr">
        <is>
          <t>Store credit</t>
        </is>
      </c>
      <c r="H49" t="inlineStr">
        <is>
          <t>Sizing</t>
        </is>
      </c>
      <c r="I49" t="n">
        <v>24</v>
      </c>
    </row>
    <row r="50">
      <c r="A50" t="inlineStr">
        <is>
          <t>RMA-7219</t>
        </is>
      </c>
      <c r="B50" s="3" t="n">
        <v>46162</v>
      </c>
      <c r="C50" t="inlineStr">
        <is>
          <t>ORD-30971</t>
        </is>
      </c>
      <c r="D50" t="inlineStr">
        <is>
          <t>MC-01</t>
        </is>
      </c>
      <c r="E50" t="inlineStr">
        <is>
          <t>Map Case</t>
        </is>
      </c>
      <c r="F50" t="n">
        <v>1</v>
      </c>
      <c r="G50" t="inlineStr">
        <is>
          <t>Refund</t>
        </is>
      </c>
      <c r="H50" t="inlineStr">
        <is>
          <t>Wrong item</t>
        </is>
      </c>
      <c r="I50" t="n">
        <v>14</v>
      </c>
    </row>
    <row r="51">
      <c r="A51" t="inlineStr">
        <is>
          <t>RMA-7257</t>
        </is>
      </c>
      <c r="B51" s="3" t="n">
        <v>46162</v>
      </c>
      <c r="C51" t="inlineStr">
        <is>
          <t>ORD-31171</t>
        </is>
      </c>
      <c r="D51" t="inlineStr">
        <is>
          <t>DB-20</t>
        </is>
      </c>
      <c r="E51" t="inlineStr">
        <is>
          <t>Dry Bag 20L</t>
        </is>
      </c>
      <c r="F51" t="n">
        <v>1</v>
      </c>
      <c r="G51" t="inlineStr">
        <is>
          <t>Exchange</t>
        </is>
      </c>
      <c r="H51" t="inlineStr">
        <is>
          <t>Changed mind</t>
        </is>
      </c>
      <c r="I51" t="n">
        <v>0</v>
      </c>
    </row>
    <row r="52">
      <c r="A52" t="inlineStr">
        <is>
          <t>RMA-7192</t>
        </is>
      </c>
      <c r="B52" s="3" t="n">
        <v>46165</v>
      </c>
      <c r="C52" t="inlineStr">
        <is>
          <t>ORD-30846</t>
        </is>
      </c>
      <c r="D52" t="inlineStr">
        <is>
          <t>DB-20</t>
        </is>
      </c>
      <c r="E52" t="inlineStr">
        <is>
          <t>Dry Bag 20L</t>
        </is>
      </c>
      <c r="F52" t="n">
        <v>1</v>
      </c>
      <c r="G52" t="inlineStr">
        <is>
          <t>Exchange</t>
        </is>
      </c>
      <c r="H52" t="inlineStr">
        <is>
          <t>Changed mind</t>
        </is>
      </c>
      <c r="I52" t="n">
        <v>0</v>
      </c>
    </row>
    <row r="53">
      <c r="A53" t="inlineStr">
        <is>
          <t>RMA-7248</t>
        </is>
      </c>
      <c r="B53" s="3" t="n">
        <v>46165</v>
      </c>
      <c r="C53" t="inlineStr">
        <is>
          <t>ORD-31146</t>
        </is>
      </c>
      <c r="D53" t="inlineStr">
        <is>
          <t>TP-PR</t>
        </is>
      </c>
      <c r="E53" t="inlineStr">
        <is>
          <t>Trekking Pole pair</t>
        </is>
      </c>
      <c r="F53" t="n">
        <v>1</v>
      </c>
      <c r="G53" t="inlineStr">
        <is>
          <t>Refund</t>
        </is>
      </c>
      <c r="H53" t="inlineStr">
        <is>
          <t>Changed mind</t>
        </is>
      </c>
      <c r="I53" t="n">
        <v>79</v>
      </c>
    </row>
    <row r="54">
      <c r="A54" t="inlineStr">
        <is>
          <t>RMA-7107</t>
        </is>
      </c>
      <c r="B54" s="3" t="n">
        <v>46167</v>
      </c>
      <c r="C54" t="inlineStr">
        <is>
          <t>ORD-30451</t>
        </is>
      </c>
      <c r="D54" t="inlineStr">
        <is>
          <t>DB-20</t>
        </is>
      </c>
      <c r="E54" t="inlineStr">
        <is>
          <t>Dry Bag 20L</t>
        </is>
      </c>
      <c r="F54" t="n">
        <v>1</v>
      </c>
      <c r="G54" t="inlineStr">
        <is>
          <t>Exchange</t>
        </is>
      </c>
      <c r="H54" t="inlineStr">
        <is>
          <t>Changed mind</t>
        </is>
      </c>
      <c r="I54" t="n">
        <v>0</v>
      </c>
    </row>
    <row r="55">
      <c r="A55" t="inlineStr">
        <is>
          <t>RMA-7145</t>
        </is>
      </c>
      <c r="B55" s="3" t="n">
        <v>46167</v>
      </c>
      <c r="C55" t="inlineStr">
        <is>
          <t>ORD-30644</t>
        </is>
      </c>
      <c r="D55" t="inlineStr">
        <is>
          <t>TP-PR</t>
        </is>
      </c>
      <c r="E55" t="inlineStr">
        <is>
          <t>Trekking Pole pair</t>
        </is>
      </c>
      <c r="F55" t="n">
        <v>1</v>
      </c>
      <c r="G55" t="inlineStr">
        <is>
          <t>Refund</t>
        </is>
      </c>
      <c r="H55" t="inlineStr">
        <is>
          <t>Not as described</t>
        </is>
      </c>
      <c r="I55" t="n">
        <v>79</v>
      </c>
    </row>
    <row r="56">
      <c r="A56" t="inlineStr">
        <is>
          <t>RMA-7247</t>
        </is>
      </c>
      <c r="B56" s="3" t="n">
        <v>46167</v>
      </c>
      <c r="C56" t="inlineStr">
        <is>
          <t>ORD-31140</t>
        </is>
      </c>
      <c r="D56" t="inlineStr">
        <is>
          <t>TP-PR</t>
        </is>
      </c>
      <c r="E56" t="inlineStr">
        <is>
          <t>Trekking Pole pair</t>
        </is>
      </c>
      <c r="F56" t="n">
        <v>3</v>
      </c>
      <c r="G56" t="inlineStr">
        <is>
          <t>Refund</t>
        </is>
      </c>
      <c r="H56" t="inlineStr">
        <is>
          <t>Damaged</t>
        </is>
      </c>
      <c r="I56" t="n">
        <v>237</v>
      </c>
    </row>
    <row r="57">
      <c r="A57" t="inlineStr">
        <is>
          <t>RMA-7254</t>
        </is>
      </c>
      <c r="B57" s="3" t="n">
        <v>46167</v>
      </c>
      <c r="C57" t="inlineStr">
        <is>
          <t>ORD-31168</t>
        </is>
      </c>
      <c r="D57" t="inlineStr">
        <is>
          <t>TJ-M-BLU</t>
        </is>
      </c>
      <c r="E57" t="inlineStr">
        <is>
          <t>Trail Jacket M</t>
        </is>
      </c>
      <c r="F57" t="n">
        <v>1</v>
      </c>
      <c r="G57" t="inlineStr">
        <is>
          <t>Exchange</t>
        </is>
      </c>
      <c r="H57" t="inlineStr">
        <is>
          <t>Changed mind</t>
        </is>
      </c>
      <c r="I57" t="n">
        <v>0</v>
      </c>
    </row>
    <row r="58">
      <c r="A58" t="inlineStr">
        <is>
          <t>RMA-7156</t>
        </is>
      </c>
      <c r="B58" s="3" t="n">
        <v>46168</v>
      </c>
      <c r="C58" t="inlineStr">
        <is>
          <t>ORD-30706</t>
        </is>
      </c>
      <c r="D58" t="inlineStr">
        <is>
          <t>DB-20</t>
        </is>
      </c>
      <c r="E58" t="inlineStr">
        <is>
          <t>Dry Bag 20L</t>
        </is>
      </c>
      <c r="F58" t="n">
        <v>1</v>
      </c>
      <c r="G58" t="inlineStr">
        <is>
          <t>Exchange</t>
        </is>
      </c>
      <c r="H58" t="inlineStr">
        <is>
          <t>Damaged</t>
        </is>
      </c>
      <c r="I58" t="n">
        <v>0</v>
      </c>
    </row>
    <row r="59">
      <c r="A59" t="inlineStr">
        <is>
          <t>RMA-7243</t>
        </is>
      </c>
      <c r="B59" s="3" t="n">
        <v>46168</v>
      </c>
      <c r="C59" t="inlineStr">
        <is>
          <t>ORD-31128</t>
        </is>
      </c>
      <c r="D59" t="inlineStr">
        <is>
          <t>MC-01</t>
        </is>
      </c>
      <c r="E59" t="inlineStr">
        <is>
          <t>Map Case</t>
        </is>
      </c>
      <c r="F59" t="n">
        <v>1</v>
      </c>
      <c r="G59" t="inlineStr">
        <is>
          <t>Refund</t>
        </is>
      </c>
      <c r="H59" t="inlineStr">
        <is>
          <t>Sizing</t>
        </is>
      </c>
      <c r="I59" t="n">
        <v>14</v>
      </c>
    </row>
    <row r="60">
      <c r="A60" t="inlineStr">
        <is>
          <t>RMA-7150</t>
        </is>
      </c>
      <c r="B60" s="3" t="n">
        <v>46169</v>
      </c>
      <c r="C60" t="inlineStr">
        <is>
          <t>ORD-30666</t>
        </is>
      </c>
      <c r="D60" t="inlineStr">
        <is>
          <t>TJ-L-BLU</t>
        </is>
      </c>
      <c r="E60" t="inlineStr">
        <is>
          <t>Trail Jacket L</t>
        </is>
      </c>
      <c r="F60" t="n">
        <v>1</v>
      </c>
      <c r="G60" t="inlineStr">
        <is>
          <t>Exchange</t>
        </is>
      </c>
      <c r="H60" t="inlineStr">
        <is>
          <t>Damaged</t>
        </is>
      </c>
      <c r="I60" t="n">
        <v>0</v>
      </c>
    </row>
    <row r="61">
      <c r="A61" t="inlineStr">
        <is>
          <t>RMA-7152</t>
        </is>
      </c>
      <c r="B61" s="3" t="n">
        <v>46169</v>
      </c>
      <c r="C61" t="inlineStr">
        <is>
          <t>ORD-30675</t>
        </is>
      </c>
      <c r="D61" t="inlineStr">
        <is>
          <t>TJ-M-BLU</t>
        </is>
      </c>
      <c r="E61" t="inlineStr">
        <is>
          <t>Trail Jacket M</t>
        </is>
      </c>
      <c r="F61" t="n">
        <v>1</v>
      </c>
      <c r="G61" t="inlineStr">
        <is>
          <t>Exchange</t>
        </is>
      </c>
      <c r="H61" t="inlineStr">
        <is>
          <t>Sizing</t>
        </is>
      </c>
      <c r="I61" t="n">
        <v>0</v>
      </c>
    </row>
    <row r="62">
      <c r="A62" t="inlineStr">
        <is>
          <t>RMA-7179</t>
        </is>
      </c>
      <c r="B62" s="3" t="n">
        <v>46170</v>
      </c>
      <c r="C62" t="inlineStr">
        <is>
          <t>ORD-30801</t>
        </is>
      </c>
      <c r="D62" t="inlineStr">
        <is>
          <t>WB-1L</t>
        </is>
      </c>
      <c r="E62" t="inlineStr">
        <is>
          <t>Water Bottle 1L</t>
        </is>
      </c>
      <c r="F62" t="n">
        <v>1</v>
      </c>
      <c r="G62" t="inlineStr">
        <is>
          <t>Refund</t>
        </is>
      </c>
      <c r="H62" t="inlineStr">
        <is>
          <t>Changed mind</t>
        </is>
      </c>
      <c r="I62" t="n">
        <v>32</v>
      </c>
    </row>
    <row r="63">
      <c r="A63" t="inlineStr">
        <is>
          <t>RMA-7201</t>
        </is>
      </c>
      <c r="B63" s="3" t="n">
        <v>46170</v>
      </c>
      <c r="C63" t="inlineStr">
        <is>
          <t>ORD-30871</t>
        </is>
      </c>
      <c r="D63" t="inlineStr">
        <is>
          <t>HL-300</t>
        </is>
      </c>
      <c r="E63" t="inlineStr">
        <is>
          <t>Headlamp 300lm</t>
        </is>
      </c>
      <c r="F63" t="n">
        <v>1</v>
      </c>
      <c r="G63" t="inlineStr">
        <is>
          <t>Refund</t>
        </is>
      </c>
      <c r="H63" t="inlineStr">
        <is>
          <t>Damaged</t>
        </is>
      </c>
      <c r="I63" t="n">
        <v>45</v>
      </c>
    </row>
    <row r="64">
      <c r="A64" t="inlineStr">
        <is>
          <t>RMA-7180</t>
        </is>
      </c>
      <c r="B64" s="3" t="n">
        <v>46171</v>
      </c>
      <c r="C64" t="inlineStr">
        <is>
          <t>ORD-30805</t>
        </is>
      </c>
      <c r="D64" t="inlineStr">
        <is>
          <t>DB-20</t>
        </is>
      </c>
      <c r="E64" t="inlineStr">
        <is>
          <t>Dry Bag 20L</t>
        </is>
      </c>
      <c r="F64" t="n">
        <v>1</v>
      </c>
      <c r="G64" t="inlineStr">
        <is>
          <t>Exchange</t>
        </is>
      </c>
      <c r="H64" t="inlineStr">
        <is>
          <t>Damaged</t>
        </is>
      </c>
      <c r="I64" t="n">
        <v>0</v>
      </c>
    </row>
    <row r="65">
      <c r="A65" t="inlineStr">
        <is>
          <t>RMA-7143</t>
        </is>
      </c>
      <c r="B65" s="3" t="n">
        <v>46172</v>
      </c>
      <c r="C65" t="inlineStr">
        <is>
          <t>ORD-30637</t>
        </is>
      </c>
      <c r="D65" t="inlineStr">
        <is>
          <t>TJ-M-BLU</t>
        </is>
      </c>
      <c r="E65" t="inlineStr">
        <is>
          <t>Trail Jacket M</t>
        </is>
      </c>
      <c r="F65" t="n">
        <v>1</v>
      </c>
      <c r="G65" t="inlineStr">
        <is>
          <t>Store credit</t>
        </is>
      </c>
      <c r="H65" t="inlineStr">
        <is>
          <t>Sizing</t>
        </is>
      </c>
      <c r="I65" t="n">
        <v>129</v>
      </c>
    </row>
    <row r="66">
      <c r="A66" t="inlineStr">
        <is>
          <t>RMA-7135</t>
        </is>
      </c>
      <c r="B66" s="3" t="n">
        <v>46173</v>
      </c>
      <c r="C66" t="inlineStr">
        <is>
          <t>ORD-30612</t>
        </is>
      </c>
      <c r="D66" t="inlineStr">
        <is>
          <t>CS-01</t>
        </is>
      </c>
      <c r="E66" t="inlineStr">
        <is>
          <t>Summit Stove</t>
        </is>
      </c>
      <c r="F66" t="n">
        <v>1</v>
      </c>
      <c r="G66" t="inlineStr">
        <is>
          <t>Refund</t>
        </is>
      </c>
      <c r="H66" t="inlineStr">
        <is>
          <t>Wrong item</t>
        </is>
      </c>
      <c r="I66" t="n">
        <v>89</v>
      </c>
    </row>
    <row r="67">
      <c r="A67" t="inlineStr">
        <is>
          <t>RMA-7142</t>
        </is>
      </c>
      <c r="B67" s="3" t="n">
        <v>46173</v>
      </c>
      <c r="C67" t="inlineStr">
        <is>
          <t>ORD-30636</t>
        </is>
      </c>
      <c r="D67" t="inlineStr">
        <is>
          <t>TP-PR</t>
        </is>
      </c>
      <c r="E67" t="inlineStr">
        <is>
          <t>Trekking Pole pair</t>
        </is>
      </c>
      <c r="F67" t="n">
        <v>3</v>
      </c>
      <c r="G67" t="inlineStr">
        <is>
          <t>Refund</t>
        </is>
      </c>
      <c r="H67" t="inlineStr">
        <is>
          <t>Wrong item</t>
        </is>
      </c>
      <c r="I67" t="n">
        <v>237</v>
      </c>
    </row>
    <row r="68">
      <c r="A68" t="inlineStr">
        <is>
          <t>RMA-7184</t>
        </is>
      </c>
      <c r="B68" s="3" t="n">
        <v>46173</v>
      </c>
      <c r="C68" t="inlineStr">
        <is>
          <t>ORD-30810</t>
        </is>
      </c>
      <c r="D68" t="inlineStr">
        <is>
          <t>MC-01</t>
        </is>
      </c>
      <c r="E68" t="inlineStr">
        <is>
          <t>Map Case</t>
        </is>
      </c>
      <c r="F68" t="n">
        <v>1</v>
      </c>
      <c r="G68" t="inlineStr">
        <is>
          <t>Exchange</t>
        </is>
      </c>
      <c r="H68" t="inlineStr">
        <is>
          <t>Wrong item</t>
        </is>
      </c>
      <c r="I68" t="n">
        <v>0</v>
      </c>
    </row>
    <row r="69">
      <c r="A69" t="inlineStr">
        <is>
          <t>RMA-7183</t>
        </is>
      </c>
      <c r="B69" s="3" t="n">
        <v>46175</v>
      </c>
      <c r="C69" t="inlineStr">
        <is>
          <t>ORD-30809</t>
        </is>
      </c>
      <c r="D69" t="inlineStr">
        <is>
          <t>TJ-L-BLU</t>
        </is>
      </c>
      <c r="E69" t="inlineStr">
        <is>
          <t>Trail Jacket L</t>
        </is>
      </c>
      <c r="F69" t="n">
        <v>1</v>
      </c>
      <c r="G69" t="inlineStr">
        <is>
          <t>Exchange</t>
        </is>
      </c>
      <c r="H69" t="inlineStr">
        <is>
          <t>Wrong item</t>
        </is>
      </c>
      <c r="I69" t="n">
        <v>0</v>
      </c>
    </row>
    <row r="70">
      <c r="A70" t="inlineStr">
        <is>
          <t>RMA-7249</t>
        </is>
      </c>
      <c r="B70" s="3" t="n">
        <v>46175</v>
      </c>
      <c r="C70" t="inlineStr">
        <is>
          <t>ORD-31149</t>
        </is>
      </c>
      <c r="D70" t="inlineStr">
        <is>
          <t>MC-01</t>
        </is>
      </c>
      <c r="E70" t="inlineStr">
        <is>
          <t>Map Case</t>
        </is>
      </c>
      <c r="F70" t="n">
        <v>1</v>
      </c>
      <c r="G70" t="inlineStr">
        <is>
          <t>Refund</t>
        </is>
      </c>
      <c r="H70" t="inlineStr">
        <is>
          <t>Changed mind</t>
        </is>
      </c>
      <c r="I70" t="n">
        <v>14</v>
      </c>
    </row>
    <row r="71">
      <c r="A71" t="inlineStr">
        <is>
          <t>RMA-7259</t>
        </is>
      </c>
      <c r="B71" s="3" t="n">
        <v>46176</v>
      </c>
      <c r="C71" t="inlineStr">
        <is>
          <t>ORD-31193</t>
        </is>
      </c>
      <c r="D71" t="inlineStr">
        <is>
          <t>HL-300</t>
        </is>
      </c>
      <c r="E71" t="inlineStr">
        <is>
          <t>Headlamp 300lm</t>
        </is>
      </c>
      <c r="F71" t="n">
        <v>1</v>
      </c>
      <c r="G71" t="inlineStr">
        <is>
          <t>Refund</t>
        </is>
      </c>
      <c r="H71" t="inlineStr">
        <is>
          <t>Damaged</t>
        </is>
      </c>
      <c r="I71" t="n">
        <v>45</v>
      </c>
    </row>
    <row r="72">
      <c r="A72" t="inlineStr">
        <is>
          <t>RMA-7157</t>
        </is>
      </c>
      <c r="B72" s="3" t="n">
        <v>46177</v>
      </c>
      <c r="C72" t="inlineStr">
        <is>
          <t>ORD-30715</t>
        </is>
      </c>
      <c r="D72" t="inlineStr">
        <is>
          <t>DB-20</t>
        </is>
      </c>
      <c r="E72" t="inlineStr">
        <is>
          <t>Dry Bag 20L</t>
        </is>
      </c>
      <c r="F72" t="n">
        <v>1</v>
      </c>
      <c r="G72" t="inlineStr">
        <is>
          <t>Exchange</t>
        </is>
      </c>
      <c r="H72" t="inlineStr">
        <is>
          <t>Changed mind</t>
        </is>
      </c>
      <c r="I72" t="n">
        <v>0</v>
      </c>
    </row>
    <row r="73">
      <c r="A73" t="inlineStr">
        <is>
          <t>RMA-7185</t>
        </is>
      </c>
      <c r="B73" s="3" t="n">
        <v>46177</v>
      </c>
      <c r="C73" t="inlineStr">
        <is>
          <t>ORD-30811</t>
        </is>
      </c>
      <c r="D73" t="inlineStr">
        <is>
          <t>TJ-M-BLU</t>
        </is>
      </c>
      <c r="E73" t="inlineStr">
        <is>
          <t>Trail Jacket M</t>
        </is>
      </c>
      <c r="F73" t="n">
        <v>1</v>
      </c>
      <c r="G73" t="inlineStr">
        <is>
          <t>Store credit</t>
        </is>
      </c>
      <c r="H73" t="inlineStr">
        <is>
          <t>Not as described</t>
        </is>
      </c>
      <c r="I73" t="n">
        <v>129</v>
      </c>
    </row>
    <row r="74">
      <c r="A74" t="inlineStr">
        <is>
          <t>RMA-7171</t>
        </is>
      </c>
      <c r="B74" s="3" t="n">
        <v>46178</v>
      </c>
      <c r="C74" t="inlineStr">
        <is>
          <t>ORD-30766</t>
        </is>
      </c>
      <c r="D74" t="inlineStr">
        <is>
          <t>WS-3PK</t>
        </is>
      </c>
      <c r="E74" t="inlineStr">
        <is>
          <t>Wool Sock 3pk</t>
        </is>
      </c>
      <c r="F74" t="n">
        <v>2</v>
      </c>
      <c r="G74" t="inlineStr">
        <is>
          <t>Refund</t>
        </is>
      </c>
      <c r="H74" t="inlineStr">
        <is>
          <t>Changed mind</t>
        </is>
      </c>
      <c r="I74" t="n">
        <v>48</v>
      </c>
    </row>
    <row r="75">
      <c r="A75" t="inlineStr">
        <is>
          <t>RMA-7222</t>
        </is>
      </c>
      <c r="B75" s="3" t="n">
        <v>46178</v>
      </c>
      <c r="C75" t="inlineStr">
        <is>
          <t>ORD-30986</t>
        </is>
      </c>
      <c r="D75" t="inlineStr">
        <is>
          <t>MC-01</t>
        </is>
      </c>
      <c r="E75" t="inlineStr">
        <is>
          <t>Map Case</t>
        </is>
      </c>
      <c r="F75" t="n">
        <v>1</v>
      </c>
      <c r="G75" t="inlineStr">
        <is>
          <t>Exchange</t>
        </is>
      </c>
      <c r="H75" t="inlineStr">
        <is>
          <t>Changed mind</t>
        </is>
      </c>
      <c r="I75" t="n">
        <v>0</v>
      </c>
    </row>
    <row r="76">
      <c r="A76" t="inlineStr">
        <is>
          <t>RMA-7250</t>
        </is>
      </c>
      <c r="B76" s="3" t="n">
        <v>46178</v>
      </c>
      <c r="C76" t="inlineStr">
        <is>
          <t>ORD-31150</t>
        </is>
      </c>
      <c r="D76" t="inlineStr">
        <is>
          <t>WB-1L</t>
        </is>
      </c>
      <c r="E76" t="inlineStr">
        <is>
          <t>Water Bottle 1L</t>
        </is>
      </c>
      <c r="F76" t="n">
        <v>1</v>
      </c>
      <c r="G76" t="inlineStr">
        <is>
          <t>Refund</t>
        </is>
      </c>
      <c r="H76" t="inlineStr">
        <is>
          <t>Wrong item</t>
        </is>
      </c>
      <c r="I76" t="n">
        <v>32</v>
      </c>
    </row>
    <row r="77">
      <c r="A77" t="inlineStr">
        <is>
          <t>RMA-7120</t>
        </is>
      </c>
      <c r="B77" s="3" t="n">
        <v>46179</v>
      </c>
      <c r="C77" t="inlineStr">
        <is>
          <t>ORD-30528</t>
        </is>
      </c>
      <c r="D77" t="inlineStr">
        <is>
          <t>CS-01</t>
        </is>
      </c>
      <c r="E77" t="inlineStr">
        <is>
          <t>Summit Stove</t>
        </is>
      </c>
      <c r="F77" t="n">
        <v>1</v>
      </c>
      <c r="G77" t="inlineStr">
        <is>
          <t>Exchange</t>
        </is>
      </c>
      <c r="H77" t="inlineStr">
        <is>
          <t>Sizing</t>
        </is>
      </c>
      <c r="I77" t="n">
        <v>0</v>
      </c>
    </row>
    <row r="78">
      <c r="A78" t="inlineStr">
        <is>
          <t>RMA-7134</t>
        </is>
      </c>
      <c r="B78" s="3" t="n">
        <v>46179</v>
      </c>
      <c r="C78" t="inlineStr">
        <is>
          <t>ORD-30608</t>
        </is>
      </c>
      <c r="D78" t="inlineStr">
        <is>
          <t>CS-01</t>
        </is>
      </c>
      <c r="E78" t="inlineStr">
        <is>
          <t>Summit Stove</t>
        </is>
      </c>
      <c r="F78" t="n">
        <v>1</v>
      </c>
      <c r="G78" t="inlineStr">
        <is>
          <t>Refund</t>
        </is>
      </c>
      <c r="H78" t="inlineStr">
        <is>
          <t>Sizing</t>
        </is>
      </c>
      <c r="I78" t="n">
        <v>89</v>
      </c>
    </row>
    <row r="79">
      <c r="A79" t="inlineStr">
        <is>
          <t>RMA-7232</t>
        </is>
      </c>
      <c r="B79" s="3" t="n">
        <v>46180</v>
      </c>
      <c r="C79" t="inlineStr">
        <is>
          <t>ORD-31077</t>
        </is>
      </c>
      <c r="D79" t="inlineStr">
        <is>
          <t>HL-300</t>
        </is>
      </c>
      <c r="E79" t="inlineStr">
        <is>
          <t>Headlamp 300lm</t>
        </is>
      </c>
      <c r="F79" t="n">
        <v>1</v>
      </c>
      <c r="G79" t="inlineStr">
        <is>
          <t>Refund</t>
        </is>
      </c>
      <c r="H79" t="inlineStr">
        <is>
          <t>Changed mind</t>
        </is>
      </c>
      <c r="I79" t="n">
        <v>45</v>
      </c>
    </row>
    <row r="80">
      <c r="A80" t="inlineStr">
        <is>
          <t>RMA-7166</t>
        </is>
      </c>
      <c r="B80" s="3" t="n">
        <v>46181</v>
      </c>
      <c r="C80" t="inlineStr">
        <is>
          <t>ORD-30745</t>
        </is>
      </c>
      <c r="D80" t="inlineStr">
        <is>
          <t>DB-20</t>
        </is>
      </c>
      <c r="E80" t="inlineStr">
        <is>
          <t>Dry Bag 20L</t>
        </is>
      </c>
      <c r="F80" t="n">
        <v>1</v>
      </c>
      <c r="G80" t="inlineStr">
        <is>
          <t>Exchange</t>
        </is>
      </c>
      <c r="H80" t="inlineStr">
        <is>
          <t>Sizing</t>
        </is>
      </c>
      <c r="I80" t="n">
        <v>0</v>
      </c>
    </row>
    <row r="81">
      <c r="A81" t="inlineStr">
        <is>
          <t>RMA-7200</t>
        </is>
      </c>
      <c r="B81" s="3" t="n">
        <v>46183</v>
      </c>
      <c r="C81" t="inlineStr">
        <is>
          <t>ORD-30867</t>
        </is>
      </c>
      <c r="D81" t="inlineStr">
        <is>
          <t>TP-PR</t>
        </is>
      </c>
      <c r="E81" t="inlineStr">
        <is>
          <t>Trekking Pole pair</t>
        </is>
      </c>
      <c r="F81" t="n">
        <v>1</v>
      </c>
      <c r="G81" t="inlineStr">
        <is>
          <t>Store credit</t>
        </is>
      </c>
      <c r="H81" t="inlineStr">
        <is>
          <t>Damaged</t>
        </is>
      </c>
      <c r="I81" t="n">
        <v>79</v>
      </c>
    </row>
    <row r="82">
      <c r="A82" t="inlineStr">
        <is>
          <t>RMA-7116</t>
        </is>
      </c>
      <c r="B82" s="3" t="n">
        <v>46185</v>
      </c>
      <c r="C82" t="inlineStr">
        <is>
          <t>ORD-30510</t>
        </is>
      </c>
      <c r="D82" t="inlineStr">
        <is>
          <t>DB-20</t>
        </is>
      </c>
      <c r="E82" t="inlineStr">
        <is>
          <t>Dry Bag 20L</t>
        </is>
      </c>
      <c r="F82" t="n">
        <v>1</v>
      </c>
      <c r="G82" t="inlineStr">
        <is>
          <t>Exchange</t>
        </is>
      </c>
      <c r="H82" t="inlineStr">
        <is>
          <t>Changed mind</t>
        </is>
      </c>
      <c r="I82" t="n">
        <v>0</v>
      </c>
    </row>
    <row r="83">
      <c r="A83" t="inlineStr">
        <is>
          <t>RMA-7136</t>
        </is>
      </c>
      <c r="B83" s="3" t="n">
        <v>46185</v>
      </c>
      <c r="C83" t="inlineStr">
        <is>
          <t>ORD-30627</t>
        </is>
      </c>
      <c r="D83" t="inlineStr">
        <is>
          <t>WB-1L</t>
        </is>
      </c>
      <c r="E83" t="inlineStr">
        <is>
          <t>Water Bottle 1L</t>
        </is>
      </c>
      <c r="F83" t="n">
        <v>1</v>
      </c>
      <c r="G83" t="inlineStr">
        <is>
          <t>Refund</t>
        </is>
      </c>
      <c r="H83" t="inlineStr">
        <is>
          <t>Damaged</t>
        </is>
      </c>
      <c r="I83" t="n">
        <v>32</v>
      </c>
    </row>
    <row r="84">
      <c r="A84" t="inlineStr">
        <is>
          <t>RMA-7148</t>
        </is>
      </c>
      <c r="B84" s="3" t="n">
        <v>46185</v>
      </c>
      <c r="C84" t="inlineStr">
        <is>
          <t>ORD-30665</t>
        </is>
      </c>
      <c r="D84" t="inlineStr">
        <is>
          <t>TP-PR</t>
        </is>
      </c>
      <c r="E84" t="inlineStr">
        <is>
          <t>Trekking Pole pair</t>
        </is>
      </c>
      <c r="F84" t="n">
        <v>1</v>
      </c>
      <c r="G84" t="inlineStr">
        <is>
          <t>Exchange</t>
        </is>
      </c>
      <c r="H84" t="inlineStr">
        <is>
          <t>Sizing</t>
        </is>
      </c>
      <c r="I84" t="n">
        <v>0</v>
      </c>
    </row>
    <row r="85">
      <c r="A85" t="inlineStr">
        <is>
          <t>RMA-7115</t>
        </is>
      </c>
      <c r="B85" s="3" t="n">
        <v>46186</v>
      </c>
      <c r="C85" t="inlineStr">
        <is>
          <t>ORD-30506</t>
        </is>
      </c>
      <c r="D85" t="inlineStr">
        <is>
          <t>TJ-L-BLU</t>
        </is>
      </c>
      <c r="E85" t="inlineStr">
        <is>
          <t>Trail Jacket L</t>
        </is>
      </c>
      <c r="F85" t="n">
        <v>1</v>
      </c>
      <c r="G85" t="inlineStr">
        <is>
          <t>Store credit</t>
        </is>
      </c>
      <c r="H85" t="inlineStr">
        <is>
          <t>Wrong item</t>
        </is>
      </c>
      <c r="I85" t="n">
        <v>129</v>
      </c>
    </row>
    <row r="86">
      <c r="A86" t="inlineStr">
        <is>
          <t>RMA-7211</t>
        </is>
      </c>
      <c r="B86" s="3" t="n">
        <v>46186</v>
      </c>
      <c r="C86" t="inlineStr">
        <is>
          <t>ORD-30927</t>
        </is>
      </c>
      <c r="D86" t="inlineStr">
        <is>
          <t>WS-3PK</t>
        </is>
      </c>
      <c r="E86" t="inlineStr">
        <is>
          <t>Wool Sock 3pk</t>
        </is>
      </c>
      <c r="F86" t="n">
        <v>1</v>
      </c>
      <c r="G86" t="inlineStr">
        <is>
          <t>Refund</t>
        </is>
      </c>
      <c r="H86" t="inlineStr">
        <is>
          <t>Changed mind</t>
        </is>
      </c>
      <c r="I86" t="n">
        <v>24</v>
      </c>
    </row>
    <row r="87">
      <c r="A87" t="inlineStr">
        <is>
          <t>RMA-7234</t>
        </is>
      </c>
      <c r="B87" s="3" t="n">
        <v>46186</v>
      </c>
      <c r="C87" t="inlineStr">
        <is>
          <t>ORD-31082</t>
        </is>
      </c>
      <c r="D87" t="inlineStr">
        <is>
          <t>MC-01</t>
        </is>
      </c>
      <c r="E87" t="inlineStr">
        <is>
          <t>Map Case</t>
        </is>
      </c>
      <c r="F87" t="n">
        <v>1</v>
      </c>
      <c r="G87" t="inlineStr">
        <is>
          <t>Exchange</t>
        </is>
      </c>
      <c r="H87" t="inlineStr">
        <is>
          <t>Sizing</t>
        </is>
      </c>
      <c r="I87" t="n">
        <v>0</v>
      </c>
    </row>
    <row r="88">
      <c r="A88" t="inlineStr">
        <is>
          <t>RMA-7186</t>
        </is>
      </c>
      <c r="B88" s="3" t="n">
        <v>46187</v>
      </c>
      <c r="C88" t="inlineStr">
        <is>
          <t>ORD-30815</t>
        </is>
      </c>
      <c r="D88" t="inlineStr">
        <is>
          <t>HL-300</t>
        </is>
      </c>
      <c r="E88" t="inlineStr">
        <is>
          <t>Headlamp 300lm</t>
        </is>
      </c>
      <c r="F88" t="n">
        <v>1</v>
      </c>
      <c r="G88" t="inlineStr">
        <is>
          <t>Store credit</t>
        </is>
      </c>
      <c r="H88" t="inlineStr">
        <is>
          <t>Damaged</t>
        </is>
      </c>
      <c r="I88" t="n">
        <v>45</v>
      </c>
    </row>
    <row r="89">
      <c r="A89" t="inlineStr">
        <is>
          <t>RMA-7253</t>
        </is>
      </c>
      <c r="B89" s="3" t="n">
        <v>46189</v>
      </c>
      <c r="C89" t="inlineStr">
        <is>
          <t>ORD-31162</t>
        </is>
      </c>
      <c r="D89" t="inlineStr">
        <is>
          <t>WB-1L</t>
        </is>
      </c>
      <c r="E89" t="inlineStr">
        <is>
          <t>Water Bottle 1L</t>
        </is>
      </c>
      <c r="F89" t="n">
        <v>3</v>
      </c>
      <c r="G89" t="inlineStr">
        <is>
          <t>Refund</t>
        </is>
      </c>
      <c r="H89" t="inlineStr">
        <is>
          <t>Changed mind</t>
        </is>
      </c>
      <c r="I89" t="n">
        <v>96</v>
      </c>
    </row>
    <row r="90">
      <c r="A90" t="inlineStr">
        <is>
          <t>RMA-7131</t>
        </is>
      </c>
      <c r="B90" s="3" t="n">
        <v>46190</v>
      </c>
      <c r="C90" t="inlineStr">
        <is>
          <t>ORD-30593</t>
        </is>
      </c>
      <c r="D90" t="inlineStr">
        <is>
          <t>DB-20</t>
        </is>
      </c>
      <c r="E90" t="inlineStr">
        <is>
          <t>Dry Bag 20L</t>
        </is>
      </c>
      <c r="F90" t="n">
        <v>3</v>
      </c>
      <c r="G90" t="inlineStr">
        <is>
          <t>Refund</t>
        </is>
      </c>
      <c r="H90" t="inlineStr">
        <is>
          <t>Not as described</t>
        </is>
      </c>
      <c r="I90" t="n">
        <v>87</v>
      </c>
    </row>
    <row r="91">
      <c r="A91" t="inlineStr">
        <is>
          <t>RMA-7208</t>
        </is>
      </c>
      <c r="B91" s="3" t="n">
        <v>46190</v>
      </c>
      <c r="C91" t="inlineStr">
        <is>
          <t>ORD-30917</t>
        </is>
      </c>
      <c r="D91" t="inlineStr">
        <is>
          <t>TP-PR</t>
        </is>
      </c>
      <c r="E91" t="inlineStr">
        <is>
          <t>Trekking Pole pair</t>
        </is>
      </c>
      <c r="F91" t="n">
        <v>1</v>
      </c>
      <c r="G91" t="inlineStr">
        <is>
          <t>Refund</t>
        </is>
      </c>
      <c r="H91" t="inlineStr">
        <is>
          <t>Damaged</t>
        </is>
      </c>
      <c r="I91" t="n">
        <v>79</v>
      </c>
    </row>
    <row r="92">
      <c r="A92" t="inlineStr">
        <is>
          <t>RMA-7229</t>
        </is>
      </c>
      <c r="B92" s="3" t="n">
        <v>46192</v>
      </c>
      <c r="C92" t="inlineStr">
        <is>
          <t>ORD-31033</t>
        </is>
      </c>
      <c r="D92" t="inlineStr">
        <is>
          <t>CS-01</t>
        </is>
      </c>
      <c r="E92" t="inlineStr">
        <is>
          <t>Summit Stove</t>
        </is>
      </c>
      <c r="F92" t="n">
        <v>1</v>
      </c>
      <c r="G92" t="inlineStr">
        <is>
          <t>Store credit</t>
        </is>
      </c>
      <c r="H92" t="inlineStr">
        <is>
          <t>Wrong item</t>
        </is>
      </c>
      <c r="I92" t="n">
        <v>89</v>
      </c>
    </row>
    <row r="93">
      <c r="A93" t="inlineStr">
        <is>
          <t>RMA-7127</t>
        </is>
      </c>
      <c r="B93" s="3" t="n">
        <v>46194</v>
      </c>
      <c r="C93" t="inlineStr">
        <is>
          <t>ORD-30567</t>
        </is>
      </c>
      <c r="D93" t="inlineStr">
        <is>
          <t>WS-3PK</t>
        </is>
      </c>
      <c r="E93" t="inlineStr">
        <is>
          <t>Wool Sock 3pk</t>
        </is>
      </c>
      <c r="F93" t="n">
        <v>1</v>
      </c>
      <c r="G93" t="inlineStr">
        <is>
          <t>Exchange</t>
        </is>
      </c>
      <c r="H93" t="inlineStr">
        <is>
          <t>Changed mind</t>
        </is>
      </c>
      <c r="I93" t="n">
        <v>0</v>
      </c>
    </row>
    <row r="94">
      <c r="A94" t="inlineStr">
        <is>
          <t>RMA-7147</t>
        </is>
      </c>
      <c r="B94" s="3" t="n">
        <v>46194</v>
      </c>
      <c r="C94" t="inlineStr">
        <is>
          <t>ORD-30663</t>
        </is>
      </c>
      <c r="D94" t="inlineStr">
        <is>
          <t>WB-1L</t>
        </is>
      </c>
      <c r="E94" t="inlineStr">
        <is>
          <t>Water Bottle 1L</t>
        </is>
      </c>
      <c r="F94" t="n">
        <v>1</v>
      </c>
      <c r="G94" t="inlineStr">
        <is>
          <t>Refund</t>
        </is>
      </c>
      <c r="H94" t="inlineStr">
        <is>
          <t>Changed mind</t>
        </is>
      </c>
      <c r="I94" t="n">
        <v>32</v>
      </c>
    </row>
    <row r="95">
      <c r="A95" t="inlineStr">
        <is>
          <t>RMA-7165</t>
        </is>
      </c>
      <c r="B95" s="3" t="n">
        <v>46195</v>
      </c>
      <c r="C95" t="inlineStr">
        <is>
          <t>ORD-30739</t>
        </is>
      </c>
      <c r="D95" t="inlineStr">
        <is>
          <t>WB-1L</t>
        </is>
      </c>
      <c r="E95" t="inlineStr">
        <is>
          <t>Water Bottle 1L</t>
        </is>
      </c>
      <c r="F95" t="n">
        <v>2</v>
      </c>
      <c r="G95" t="inlineStr">
        <is>
          <t>Refund</t>
        </is>
      </c>
      <c r="H95" t="inlineStr">
        <is>
          <t>Not as described</t>
        </is>
      </c>
      <c r="I95" t="n">
        <v>64</v>
      </c>
    </row>
    <row r="96">
      <c r="A96" t="inlineStr">
        <is>
          <t>RMA-7203</t>
        </is>
      </c>
      <c r="B96" s="3" t="n">
        <v>46195</v>
      </c>
      <c r="C96" t="inlineStr">
        <is>
          <t>ORD-30875</t>
        </is>
      </c>
      <c r="D96" t="inlineStr">
        <is>
          <t>WS-3PK</t>
        </is>
      </c>
      <c r="E96" t="inlineStr">
        <is>
          <t>Wool Sock 3pk</t>
        </is>
      </c>
      <c r="F96" t="n">
        <v>1</v>
      </c>
      <c r="G96" t="inlineStr">
        <is>
          <t>Exchange</t>
        </is>
      </c>
      <c r="H96" t="inlineStr">
        <is>
          <t>Changed mind</t>
        </is>
      </c>
      <c r="I96" t="n">
        <v>0</v>
      </c>
    </row>
    <row r="97">
      <c r="A97" t="inlineStr">
        <is>
          <t>RMA-7207</t>
        </is>
      </c>
      <c r="B97" s="3" t="n">
        <v>46195</v>
      </c>
      <c r="C97" t="inlineStr">
        <is>
          <t>ORD-30898</t>
        </is>
      </c>
      <c r="D97" t="inlineStr">
        <is>
          <t>TJ-M-BLU</t>
        </is>
      </c>
      <c r="E97" t="inlineStr">
        <is>
          <t>Trail Jacket M</t>
        </is>
      </c>
      <c r="F97" t="n">
        <v>1</v>
      </c>
      <c r="G97" t="inlineStr">
        <is>
          <t>Exchange</t>
        </is>
      </c>
      <c r="H97" t="inlineStr">
        <is>
          <t>Sizing</t>
        </is>
      </c>
      <c r="I97" t="n">
        <v>0</v>
      </c>
    </row>
    <row r="98">
      <c r="A98" t="inlineStr">
        <is>
          <t>RMA-7188</t>
        </is>
      </c>
      <c r="B98" s="3" t="n">
        <v>46197</v>
      </c>
      <c r="C98" t="inlineStr">
        <is>
          <t>ORD-30819</t>
        </is>
      </c>
      <c r="D98" t="inlineStr">
        <is>
          <t>HL-300</t>
        </is>
      </c>
      <c r="E98" t="inlineStr">
        <is>
          <t>Headlamp 300lm</t>
        </is>
      </c>
      <c r="F98" t="n">
        <v>1</v>
      </c>
      <c r="G98" t="inlineStr">
        <is>
          <t>Refund</t>
        </is>
      </c>
      <c r="H98" t="inlineStr">
        <is>
          <t>Changed mind</t>
        </is>
      </c>
      <c r="I98" t="n">
        <v>45</v>
      </c>
    </row>
    <row r="99">
      <c r="A99" t="inlineStr">
        <is>
          <t>RMA-7121</t>
        </is>
      </c>
      <c r="B99" s="3" t="n">
        <v>46198</v>
      </c>
      <c r="C99" t="inlineStr">
        <is>
          <t>ORD-30533</t>
        </is>
      </c>
      <c r="D99" t="inlineStr">
        <is>
          <t>WB-1L</t>
        </is>
      </c>
      <c r="E99" t="inlineStr">
        <is>
          <t>Water Bottle 1L</t>
        </is>
      </c>
      <c r="F99" t="n">
        <v>1</v>
      </c>
      <c r="G99" t="inlineStr">
        <is>
          <t>Exchange</t>
        </is>
      </c>
      <c r="H99" t="inlineStr">
        <is>
          <t>Changed mind</t>
        </is>
      </c>
      <c r="I99" t="n">
        <v>0</v>
      </c>
    </row>
    <row r="100">
      <c r="A100" t="inlineStr">
        <is>
          <t>RMA-7164</t>
        </is>
      </c>
      <c r="B100" s="3" t="n">
        <v>46198</v>
      </c>
      <c r="C100" t="inlineStr">
        <is>
          <t>ORD-30738</t>
        </is>
      </c>
      <c r="D100" t="inlineStr">
        <is>
          <t>WS-3PK</t>
        </is>
      </c>
      <c r="E100" t="inlineStr">
        <is>
          <t>Wool Sock 3pk</t>
        </is>
      </c>
      <c r="F100" t="n">
        <v>2</v>
      </c>
      <c r="G100" t="inlineStr">
        <is>
          <t>Refund</t>
        </is>
      </c>
      <c r="H100" t="inlineStr">
        <is>
          <t>Wrong item</t>
        </is>
      </c>
      <c r="I100" t="n">
        <v>48</v>
      </c>
    </row>
    <row r="101">
      <c r="A101" t="inlineStr">
        <is>
          <t>RMA-7109</t>
        </is>
      </c>
      <c r="B101" s="3" t="n">
        <v>46199</v>
      </c>
      <c r="C101" t="inlineStr">
        <is>
          <t>ORD-30458</t>
        </is>
      </c>
      <c r="D101" t="inlineStr">
        <is>
          <t>TJ-L-BLU</t>
        </is>
      </c>
      <c r="E101" t="inlineStr">
        <is>
          <t>Trail Jacket L</t>
        </is>
      </c>
      <c r="F101" t="n">
        <v>1</v>
      </c>
      <c r="G101" t="inlineStr">
        <is>
          <t>Refund</t>
        </is>
      </c>
      <c r="H101" t="inlineStr">
        <is>
          <t>Damaged</t>
        </is>
      </c>
      <c r="I101" t="n">
        <v>129</v>
      </c>
    </row>
    <row r="102">
      <c r="A102" t="inlineStr">
        <is>
          <t>RMA-7130</t>
        </is>
      </c>
      <c r="B102" s="3" t="n">
        <v>46200</v>
      </c>
      <c r="C102" t="inlineStr">
        <is>
          <t>ORD-30592</t>
        </is>
      </c>
      <c r="D102" t="inlineStr">
        <is>
          <t>MC-01</t>
        </is>
      </c>
      <c r="E102" t="inlineStr">
        <is>
          <t>Map Case</t>
        </is>
      </c>
      <c r="F102" t="n">
        <v>1</v>
      </c>
      <c r="G102" t="inlineStr">
        <is>
          <t>Refund</t>
        </is>
      </c>
      <c r="H102" t="inlineStr">
        <is>
          <t>Changed mind</t>
        </is>
      </c>
      <c r="I102" t="n">
        <v>14</v>
      </c>
    </row>
    <row r="103">
      <c r="A103" t="inlineStr">
        <is>
          <t>RMA-7244</t>
        </is>
      </c>
      <c r="B103" s="3" t="n">
        <v>46201</v>
      </c>
      <c r="C103" t="inlineStr">
        <is>
          <t>ORD-31130</t>
        </is>
      </c>
      <c r="D103" t="inlineStr">
        <is>
          <t>TP-PR</t>
        </is>
      </c>
      <c r="E103" t="inlineStr">
        <is>
          <t>Trekking Pole pair</t>
        </is>
      </c>
      <c r="F103" t="n">
        <v>1</v>
      </c>
      <c r="G103" t="inlineStr">
        <is>
          <t>Exchange</t>
        </is>
      </c>
      <c r="H103" t="inlineStr">
        <is>
          <t>Damaged</t>
        </is>
      </c>
      <c r="I103" t="n">
        <v>0</v>
      </c>
    </row>
    <row r="104">
      <c r="A104" t="inlineStr">
        <is>
          <t>RMA-7225</t>
        </is>
      </c>
      <c r="B104" s="3" t="n">
        <v>46202</v>
      </c>
      <c r="C104" t="inlineStr">
        <is>
          <t>ORD-31014</t>
        </is>
      </c>
      <c r="D104" t="inlineStr">
        <is>
          <t>WS-3PK</t>
        </is>
      </c>
      <c r="E104" t="inlineStr">
        <is>
          <t>Wool Sock 3pk</t>
        </is>
      </c>
      <c r="F104" t="n">
        <v>1</v>
      </c>
      <c r="G104" t="inlineStr">
        <is>
          <t>Refund</t>
        </is>
      </c>
      <c r="H104" t="inlineStr">
        <is>
          <t>Not as described</t>
        </is>
      </c>
      <c r="I104" t="n">
        <v>24</v>
      </c>
    </row>
    <row r="105">
      <c r="A105" t="inlineStr">
        <is>
          <t>RMA-7114</t>
        </is>
      </c>
      <c r="B105" s="3" t="n">
        <v>46203</v>
      </c>
      <c r="C105" t="inlineStr">
        <is>
          <t>ORD-30500</t>
        </is>
      </c>
      <c r="D105" t="inlineStr">
        <is>
          <t>TJ-L-BLU</t>
        </is>
      </c>
      <c r="E105" t="inlineStr">
        <is>
          <t>Trail Jacket L</t>
        </is>
      </c>
      <c r="F105" t="n">
        <v>1</v>
      </c>
      <c r="G105" t="inlineStr">
        <is>
          <t>Refund</t>
        </is>
      </c>
      <c r="H105" t="inlineStr">
        <is>
          <t>Wrong item</t>
        </is>
      </c>
      <c r="I105" t="n">
        <v>129</v>
      </c>
    </row>
    <row r="106">
      <c r="A106" t="inlineStr">
        <is>
          <t>RMA-7117</t>
        </is>
      </c>
      <c r="B106" s="3" t="n">
        <v>46203</v>
      </c>
      <c r="C106" t="inlineStr">
        <is>
          <t>ORD-30511</t>
        </is>
      </c>
      <c r="D106" t="inlineStr">
        <is>
          <t>TJ-L-BLU</t>
        </is>
      </c>
      <c r="E106" t="inlineStr">
        <is>
          <t>Trail Jacket L</t>
        </is>
      </c>
      <c r="F106" t="n">
        <v>1</v>
      </c>
      <c r="G106" t="inlineStr">
        <is>
          <t>Refund</t>
        </is>
      </c>
      <c r="H106" t="inlineStr">
        <is>
          <t>Damaged</t>
        </is>
      </c>
      <c r="I106" t="n">
        <v>129</v>
      </c>
    </row>
    <row r="107">
      <c r="A107" t="inlineStr">
        <is>
          <t>RMA-7118</t>
        </is>
      </c>
      <c r="B107" s="3" t="n">
        <v>46203</v>
      </c>
      <c r="C107" t="inlineStr">
        <is>
          <t>ORD-30515</t>
        </is>
      </c>
      <c r="D107" t="inlineStr">
        <is>
          <t>WB-1L</t>
        </is>
      </c>
      <c r="E107" t="inlineStr">
        <is>
          <t>Water Bottle 1L</t>
        </is>
      </c>
      <c r="F107" t="n">
        <v>1</v>
      </c>
      <c r="G107" t="inlineStr">
        <is>
          <t>Refund</t>
        </is>
      </c>
      <c r="H107" t="inlineStr">
        <is>
          <t>Wrong item</t>
        </is>
      </c>
      <c r="I107" t="n">
        <v>32</v>
      </c>
    </row>
    <row r="108">
      <c r="A108" t="inlineStr">
        <is>
          <t>RMA-7128</t>
        </is>
      </c>
      <c r="B108" s="3" t="n">
        <v>46203</v>
      </c>
      <c r="C108" t="inlineStr">
        <is>
          <t>ORD-30587</t>
        </is>
      </c>
      <c r="D108" t="inlineStr">
        <is>
          <t>TP-PR</t>
        </is>
      </c>
      <c r="E108" t="inlineStr">
        <is>
          <t>Trekking Pole pair</t>
        </is>
      </c>
      <c r="F108" t="n">
        <v>3</v>
      </c>
      <c r="G108" t="inlineStr">
        <is>
          <t>Refund</t>
        </is>
      </c>
      <c r="H108" t="inlineStr">
        <is>
          <t>Damaged</t>
        </is>
      </c>
      <c r="I108" t="n">
        <v>237</v>
      </c>
    </row>
    <row r="109">
      <c r="A109" t="inlineStr">
        <is>
          <t>RMA-7140</t>
        </is>
      </c>
      <c r="B109" s="3" t="n">
        <v>46203</v>
      </c>
      <c r="C109" t="inlineStr">
        <is>
          <t>ORD-30633</t>
        </is>
      </c>
      <c r="D109" t="inlineStr">
        <is>
          <t>HL-300</t>
        </is>
      </c>
      <c r="E109" t="inlineStr">
        <is>
          <t>Headlamp 300lm</t>
        </is>
      </c>
      <c r="F109" t="n">
        <v>1</v>
      </c>
      <c r="G109" t="inlineStr">
        <is>
          <t>Refund</t>
        </is>
      </c>
      <c r="H109" t="inlineStr">
        <is>
          <t>Damaged</t>
        </is>
      </c>
      <c r="I109" t="n">
        <v>45</v>
      </c>
    </row>
    <row r="110">
      <c r="A110" t="inlineStr">
        <is>
          <t>RMA-7159</t>
        </is>
      </c>
      <c r="B110" s="3" t="n">
        <v>46203</v>
      </c>
      <c r="C110" t="inlineStr">
        <is>
          <t>ORD-30716</t>
        </is>
      </c>
      <c r="D110" t="inlineStr">
        <is>
          <t>TJ-L-BLU</t>
        </is>
      </c>
      <c r="E110" t="inlineStr">
        <is>
          <t>Trail Jacket L</t>
        </is>
      </c>
      <c r="F110" t="n">
        <v>1</v>
      </c>
      <c r="G110" t="inlineStr">
        <is>
          <t>Exchange</t>
        </is>
      </c>
      <c r="H110" t="inlineStr">
        <is>
          <t>Not as described</t>
        </is>
      </c>
      <c r="I110" t="n">
        <v>0</v>
      </c>
    </row>
    <row r="111">
      <c r="A111" t="inlineStr">
        <is>
          <t>RMA-7160</t>
        </is>
      </c>
      <c r="B111" s="3" t="n">
        <v>46203</v>
      </c>
      <c r="C111" t="inlineStr">
        <is>
          <t>ORD-30721</t>
        </is>
      </c>
      <c r="D111" t="inlineStr">
        <is>
          <t>HL-300</t>
        </is>
      </c>
      <c r="E111" t="inlineStr">
        <is>
          <t>Headlamp 300lm</t>
        </is>
      </c>
      <c r="F111" t="n">
        <v>1</v>
      </c>
      <c r="G111" t="inlineStr">
        <is>
          <t>Refund</t>
        </is>
      </c>
      <c r="H111" t="inlineStr">
        <is>
          <t>Not as described</t>
        </is>
      </c>
      <c r="I111" t="n">
        <v>45</v>
      </c>
    </row>
    <row r="112">
      <c r="A112" t="inlineStr">
        <is>
          <t>RMA-7162</t>
        </is>
      </c>
      <c r="B112" s="3" t="n">
        <v>46203</v>
      </c>
      <c r="C112" t="inlineStr">
        <is>
          <t>ORD-30722</t>
        </is>
      </c>
      <c r="D112" t="inlineStr">
        <is>
          <t>WS-3PK</t>
        </is>
      </c>
      <c r="E112" t="inlineStr">
        <is>
          <t>Wool Sock 3pk</t>
        </is>
      </c>
      <c r="F112" t="n">
        <v>1</v>
      </c>
      <c r="G112" t="inlineStr">
        <is>
          <t>Exchange</t>
        </is>
      </c>
      <c r="H112" t="inlineStr">
        <is>
          <t>Not as described</t>
        </is>
      </c>
      <c r="I112" t="n">
        <v>0</v>
      </c>
    </row>
    <row r="113">
      <c r="A113" t="inlineStr">
        <is>
          <t>RMA-7168</t>
        </is>
      </c>
      <c r="B113" s="3" t="n">
        <v>46203</v>
      </c>
      <c r="C113" t="inlineStr">
        <is>
          <t>ORD-30759</t>
        </is>
      </c>
      <c r="D113" t="inlineStr">
        <is>
          <t>HL-300</t>
        </is>
      </c>
      <c r="E113" t="inlineStr">
        <is>
          <t>Headlamp 300lm</t>
        </is>
      </c>
      <c r="F113" t="n">
        <v>2</v>
      </c>
      <c r="G113" t="inlineStr">
        <is>
          <t>Refund</t>
        </is>
      </c>
      <c r="H113" t="inlineStr">
        <is>
          <t>Changed mind</t>
        </is>
      </c>
      <c r="I113" t="n">
        <v>90</v>
      </c>
    </row>
    <row r="114">
      <c r="A114" t="inlineStr">
        <is>
          <t>RMA-7170</t>
        </is>
      </c>
      <c r="B114" s="3" t="n">
        <v>46203</v>
      </c>
      <c r="C114" t="inlineStr">
        <is>
          <t>ORD-30765</t>
        </is>
      </c>
      <c r="D114" t="inlineStr">
        <is>
          <t>TP-PR</t>
        </is>
      </c>
      <c r="E114" t="inlineStr">
        <is>
          <t>Trekking Pole pair</t>
        </is>
      </c>
      <c r="F114" t="n">
        <v>1</v>
      </c>
      <c r="G114" t="inlineStr">
        <is>
          <t>Refund</t>
        </is>
      </c>
      <c r="H114" t="inlineStr">
        <is>
          <t>Changed mind</t>
        </is>
      </c>
      <c r="I114" t="n">
        <v>79</v>
      </c>
    </row>
    <row r="115">
      <c r="A115" t="inlineStr">
        <is>
          <t>RMA-7220</t>
        </is>
      </c>
      <c r="B115" s="3" t="n">
        <v>46203</v>
      </c>
      <c r="C115" t="inlineStr">
        <is>
          <t>ORD-30977</t>
        </is>
      </c>
      <c r="D115" t="inlineStr">
        <is>
          <t>DB-20</t>
        </is>
      </c>
      <c r="E115" t="inlineStr">
        <is>
          <t>Dry Bag 20L</t>
        </is>
      </c>
      <c r="F115" t="n">
        <v>2</v>
      </c>
      <c r="G115" t="inlineStr">
        <is>
          <t>Refund</t>
        </is>
      </c>
      <c r="H115" t="inlineStr">
        <is>
          <t>Wrong item</t>
        </is>
      </c>
      <c r="I115" t="n">
        <v>58</v>
      </c>
    </row>
    <row r="116">
      <c r="A116" t="inlineStr">
        <is>
          <t>RMA-7224</t>
        </is>
      </c>
      <c r="B116" s="3" t="n">
        <v>46203</v>
      </c>
      <c r="C116" t="inlineStr">
        <is>
          <t>ORD-31008</t>
        </is>
      </c>
      <c r="D116" t="inlineStr">
        <is>
          <t>MC-01</t>
        </is>
      </c>
      <c r="E116" t="inlineStr">
        <is>
          <t>Map Case</t>
        </is>
      </c>
      <c r="F116" t="n">
        <v>1</v>
      </c>
      <c r="G116" t="inlineStr">
        <is>
          <t>Exchange</t>
        </is>
      </c>
      <c r="H116" t="inlineStr">
        <is>
          <t>Damaged</t>
        </is>
      </c>
      <c r="I116" t="n">
        <v>0</v>
      </c>
    </row>
    <row r="117">
      <c r="A117" t="inlineStr">
        <is>
          <t>RMA-7227</t>
        </is>
      </c>
      <c r="B117" s="3" t="n">
        <v>46203</v>
      </c>
      <c r="C117" t="inlineStr">
        <is>
          <t>ORD-31016</t>
        </is>
      </c>
      <c r="D117" t="inlineStr">
        <is>
          <t>WB-1L</t>
        </is>
      </c>
      <c r="E117" t="inlineStr">
        <is>
          <t>Water Bottle 1L</t>
        </is>
      </c>
      <c r="F117" t="n">
        <v>1</v>
      </c>
      <c r="G117" t="inlineStr">
        <is>
          <t>Refund</t>
        </is>
      </c>
      <c r="H117" t="inlineStr">
        <is>
          <t>Damaged</t>
        </is>
      </c>
      <c r="I117" t="n">
        <v>32</v>
      </c>
    </row>
    <row r="118">
      <c r="A118" t="inlineStr">
        <is>
          <t>RMA-7231</t>
        </is>
      </c>
      <c r="B118" s="3" t="n">
        <v>46203</v>
      </c>
      <c r="C118" t="inlineStr">
        <is>
          <t>ORD-31069</t>
        </is>
      </c>
      <c r="D118" t="inlineStr">
        <is>
          <t>TJ-L-BLU</t>
        </is>
      </c>
      <c r="E118" t="inlineStr">
        <is>
          <t>Trail Jacket L</t>
        </is>
      </c>
      <c r="F118" t="n">
        <v>1</v>
      </c>
      <c r="G118" t="inlineStr">
        <is>
          <t>Exchange</t>
        </is>
      </c>
      <c r="H118" t="inlineStr">
        <is>
          <t>Wrong item</t>
        </is>
      </c>
      <c r="I118" t="n">
        <v>0</v>
      </c>
    </row>
    <row r="119">
      <c r="A119" t="inlineStr">
        <is>
          <t>RMA-7252</t>
        </is>
      </c>
      <c r="B119" s="3" t="n">
        <v>46203</v>
      </c>
      <c r="C119" t="inlineStr">
        <is>
          <t>ORD-31161</t>
        </is>
      </c>
      <c r="D119" t="inlineStr">
        <is>
          <t>WB-1L</t>
        </is>
      </c>
      <c r="E119" t="inlineStr">
        <is>
          <t>Water Bottle 1L</t>
        </is>
      </c>
      <c r="F119" t="n">
        <v>1</v>
      </c>
      <c r="G119" t="inlineStr">
        <is>
          <t>Refund</t>
        </is>
      </c>
      <c r="H119" t="inlineStr">
        <is>
          <t>Damaged</t>
        </is>
      </c>
      <c r="I11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