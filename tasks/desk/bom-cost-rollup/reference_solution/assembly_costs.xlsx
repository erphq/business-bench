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loded" sheetId="2" state="visible" r:id="rId2"/>
    <sheet name="Pr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Material cost</t>
        </is>
      </c>
    </row>
    <row r="2">
      <c r="A2" t="inlineStr">
        <is>
          <t>IW-7230</t>
        </is>
      </c>
      <c r="B2" t="inlineStr">
        <is>
          <t>Workbench 72in with drawers</t>
        </is>
      </c>
      <c r="C2">
        <f>ROUND(SUMIF(Exploded!$A$2:$A$60,A2,Exploded!$G$2:$G$60),2)</f>
        <v/>
      </c>
    </row>
    <row r="3">
      <c r="A3" t="inlineStr">
        <is>
          <t>IW-4830</t>
        </is>
      </c>
      <c r="B3" t="inlineStr">
        <is>
          <t>Workbench 48in</t>
        </is>
      </c>
      <c r="C3">
        <f>ROUND(SUMIF(Exploded!$A$2:$A$60,A3,Exploded!$G$2:$G$60),2)</f>
        <v/>
      </c>
    </row>
    <row r="4">
      <c r="A4" t="inlineStr">
        <is>
          <t>IW-SR5</t>
        </is>
      </c>
      <c r="B4" t="inlineStr">
        <is>
          <t>Shelving rack 5-tier</t>
        </is>
      </c>
      <c r="C4">
        <f>ROUND(SUMIF(Exploded!$A$2:$A$60,A4,Exploded!$G$2:$G$60),2)</f>
        <v/>
      </c>
    </row>
    <row r="5">
      <c r="A5" t="inlineStr">
        <is>
          <t>IW-MC2</t>
        </is>
      </c>
      <c r="B5" t="inlineStr">
        <is>
          <t>Mobile cart 2-shelf</t>
        </is>
      </c>
      <c r="C5">
        <f>ROUND(SUMIF(Exploded!$A$2:$A$60,A5,Exploded!$G$2:$G$60),2)</f>
        <v/>
      </c>
    </row>
    <row r="6">
      <c r="A6" t="inlineStr">
        <is>
          <t>IW-TS1</t>
        </is>
      </c>
      <c r="B6" t="inlineStr">
        <is>
          <t>Tool station</t>
        </is>
      </c>
      <c r="C6">
        <f>ROUND(SUMIF(Exploded!$A$2:$A$60,A6,Exploded!$G$2:$G$60),2)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4" customWidth="1" min="3" max="3"/>
  </cols>
  <sheetData>
    <row r="1">
      <c r="A1" s="1" t="inlineStr">
        <is>
          <t>Product</t>
        </is>
      </c>
      <c r="B1" s="1" t="inlineStr">
        <is>
          <t>Level</t>
        </is>
      </c>
      <c r="C1" s="1" t="inlineStr">
        <is>
          <t>Path</t>
        </is>
      </c>
      <c r="D1" s="1" t="inlineStr">
        <is>
          <t>Component</t>
        </is>
      </c>
      <c r="E1" s="1" t="inlineStr">
        <is>
          <t>Extended qty</t>
        </is>
      </c>
      <c r="F1" s="1" t="inlineStr">
        <is>
          <t>Unit cost</t>
        </is>
      </c>
      <c r="G1" s="1" t="inlineStr">
        <is>
          <t>Extended cost</t>
        </is>
      </c>
    </row>
    <row r="2">
      <c r="A2" t="inlineStr">
        <is>
          <t>IW-7230</t>
        </is>
      </c>
      <c r="B2" t="n">
        <v>3</v>
      </c>
      <c r="C2" t="inlineStr">
        <is>
          <t>SA-FRM72 &gt; SA-LEG &gt; TUB-2020</t>
        </is>
      </c>
      <c r="D2" t="inlineStr">
        <is>
          <t>TUB-2020</t>
        </is>
      </c>
      <c r="E2" t="n">
        <v>11</v>
      </c>
      <c r="F2">
        <f>VLOOKUP(D2,Prices!$A$2:$E$19,5,FALSE)</f>
        <v/>
      </c>
      <c r="G2">
        <f>ROUND(E2*F2,4)</f>
        <v/>
      </c>
    </row>
    <row r="3">
      <c r="A3" t="inlineStr">
        <is>
          <t>IW-7230</t>
        </is>
      </c>
      <c r="B3" t="n">
        <v>3</v>
      </c>
      <c r="C3" t="inlineStr">
        <is>
          <t>SA-FRM72 &gt; SA-LEG &gt; PLT-0404</t>
        </is>
      </c>
      <c r="D3" t="inlineStr">
        <is>
          <t>PLT-0404</t>
        </is>
      </c>
      <c r="E3" t="n">
        <v>4</v>
      </c>
      <c r="F3">
        <f>VLOOKUP(D3,Prices!$A$2:$E$19,5,FALSE)</f>
        <v/>
      </c>
      <c r="G3">
        <f>ROUND(E3*F3,4)</f>
        <v/>
      </c>
    </row>
    <row r="4">
      <c r="A4" t="inlineStr">
        <is>
          <t>IW-7230</t>
        </is>
      </c>
      <c r="B4" t="n">
        <v>3</v>
      </c>
      <c r="C4" t="inlineStr">
        <is>
          <t>SA-FRM72 &gt; SA-LEG &gt; LEV-58</t>
        </is>
      </c>
      <c r="D4" t="inlineStr">
        <is>
          <t>LEV-58</t>
        </is>
      </c>
      <c r="E4" t="n">
        <v>4</v>
      </c>
      <c r="F4">
        <f>VLOOKUP(D4,Prices!$A$2:$E$19,5,FALSE)</f>
        <v/>
      </c>
      <c r="G4">
        <f>ROUND(E4*F4,4)</f>
        <v/>
      </c>
    </row>
    <row r="5">
      <c r="A5" t="inlineStr">
        <is>
          <t>IW-7230</t>
        </is>
      </c>
      <c r="B5" t="n">
        <v>2</v>
      </c>
      <c r="C5" t="inlineStr">
        <is>
          <t>SA-FRM72 &gt; TUB-2020</t>
        </is>
      </c>
      <c r="D5" t="inlineStr">
        <is>
          <t>TUB-2020</t>
        </is>
      </c>
      <c r="E5" t="n">
        <v>13.5</v>
      </c>
      <c r="F5">
        <f>VLOOKUP(D5,Prices!$A$2:$E$19,5,FALSE)</f>
        <v/>
      </c>
      <c r="G5">
        <f>ROUND(E5*F5,4)</f>
        <v/>
      </c>
    </row>
    <row r="6">
      <c r="A6" t="inlineStr">
        <is>
          <t>IW-7230</t>
        </is>
      </c>
      <c r="B6" t="n">
        <v>2</v>
      </c>
      <c r="C6" t="inlineStr">
        <is>
          <t>SA-FRM72 &gt; BLT-M10</t>
        </is>
      </c>
      <c r="D6" t="inlineStr">
        <is>
          <t>BLT-M10</t>
        </is>
      </c>
      <c r="E6" t="n">
        <v>8</v>
      </c>
      <c r="F6">
        <f>VLOOKUP(D6,Prices!$A$2:$E$19,5,FALSE)</f>
        <v/>
      </c>
      <c r="G6">
        <f>ROUND(E6*F6,4)</f>
        <v/>
      </c>
    </row>
    <row r="7">
      <c r="A7" t="inlineStr">
        <is>
          <t>IW-7230</t>
        </is>
      </c>
      <c r="B7" t="n">
        <v>1</v>
      </c>
      <c r="C7" t="inlineStr">
        <is>
          <t>TOP-7230</t>
        </is>
      </c>
      <c r="D7" t="inlineStr">
        <is>
          <t>TOP-7230</t>
        </is>
      </c>
      <c r="E7" t="n">
        <v>1</v>
      </c>
      <c r="F7">
        <f>VLOOKUP(D7,Prices!$A$2:$E$19,5,FALSE)</f>
        <v/>
      </c>
      <c r="G7">
        <f>ROUND(E7*F7,4)</f>
        <v/>
      </c>
    </row>
    <row r="8">
      <c r="A8" t="inlineStr">
        <is>
          <t>IW-7230</t>
        </is>
      </c>
      <c r="B8" t="n">
        <v>3</v>
      </c>
      <c r="C8" t="inlineStr">
        <is>
          <t>SA-DRW &gt; SA-DBX &gt; SHT-1624</t>
        </is>
      </c>
      <c r="D8" t="inlineStr">
        <is>
          <t>SHT-1624</t>
        </is>
      </c>
      <c r="E8" t="n">
        <v>1</v>
      </c>
      <c r="F8">
        <f>VLOOKUP(D8,Prices!$A$2:$E$19,5,FALSE)</f>
        <v/>
      </c>
      <c r="G8">
        <f>ROUND(E8*F8,4)</f>
        <v/>
      </c>
    </row>
    <row r="9">
      <c r="A9" t="inlineStr">
        <is>
          <t>IW-7230</t>
        </is>
      </c>
      <c r="B9" t="n">
        <v>3</v>
      </c>
      <c r="C9" t="inlineStr">
        <is>
          <t>SA-DRW &gt; SA-DBX &gt; PUL-01</t>
        </is>
      </c>
      <c r="D9" t="inlineStr">
        <is>
          <t>PUL-01</t>
        </is>
      </c>
      <c r="E9" t="n">
        <v>2</v>
      </c>
      <c r="F9">
        <f>VLOOKUP(D9,Prices!$A$2:$E$19,5,FALSE)</f>
        <v/>
      </c>
      <c r="G9">
        <f>ROUND(E9*F9,4)</f>
        <v/>
      </c>
    </row>
    <row r="10">
      <c r="A10" t="inlineStr">
        <is>
          <t>IW-7230</t>
        </is>
      </c>
      <c r="B10" t="n">
        <v>2</v>
      </c>
      <c r="C10" t="inlineStr">
        <is>
          <t>SA-DRW &gt; SLD-18</t>
        </is>
      </c>
      <c r="D10" t="inlineStr">
        <is>
          <t>SLD-18</t>
        </is>
      </c>
      <c r="E10" t="n">
        <v>2</v>
      </c>
      <c r="F10">
        <f>VLOOKUP(D10,Prices!$A$2:$E$19,5,FALSE)</f>
        <v/>
      </c>
      <c r="G10">
        <f>ROUND(E10*F10,4)</f>
        <v/>
      </c>
    </row>
    <row r="11">
      <c r="A11" t="inlineStr">
        <is>
          <t>IW-7230</t>
        </is>
      </c>
      <c r="B11" t="n">
        <v>2</v>
      </c>
      <c r="C11" t="inlineStr">
        <is>
          <t>SA-DRW &gt; BLT-M10</t>
        </is>
      </c>
      <c r="D11" t="inlineStr">
        <is>
          <t>BLT-M10</t>
        </is>
      </c>
      <c r="E11" t="n">
        <v>12</v>
      </c>
      <c r="F11">
        <f>VLOOKUP(D11,Prices!$A$2:$E$19,5,FALSE)</f>
        <v/>
      </c>
      <c r="G11">
        <f>ROUND(E11*F11,4)</f>
        <v/>
      </c>
    </row>
    <row r="12">
      <c r="A12" t="inlineStr">
        <is>
          <t>IW-7230</t>
        </is>
      </c>
      <c r="B12" t="n">
        <v>1</v>
      </c>
      <c r="C12" t="inlineStr">
        <is>
          <t>BLT-M10</t>
        </is>
      </c>
      <c r="D12" t="inlineStr">
        <is>
          <t>BLT-M10</t>
        </is>
      </c>
      <c r="E12" t="n">
        <v>12</v>
      </c>
      <c r="F12">
        <f>VLOOKUP(D12,Prices!$A$2:$E$19,5,FALSE)</f>
        <v/>
      </c>
      <c r="G12">
        <f>ROUND(E12*F12,4)</f>
        <v/>
      </c>
    </row>
    <row r="13">
      <c r="A13" t="inlineStr">
        <is>
          <t>IW-7230</t>
        </is>
      </c>
      <c r="B13" t="n">
        <v>1</v>
      </c>
      <c r="C13" t="inlineStr">
        <is>
          <t>NUT-M10</t>
        </is>
      </c>
      <c r="D13" t="inlineStr">
        <is>
          <t>NUT-M10</t>
        </is>
      </c>
      <c r="E13" t="n">
        <v>12</v>
      </c>
      <c r="F13">
        <f>VLOOKUP(D13,Prices!$A$2:$E$19,5,FALSE)</f>
        <v/>
      </c>
      <c r="G13">
        <f>ROUND(E13*F13,4)</f>
        <v/>
      </c>
    </row>
    <row r="14">
      <c r="A14" t="inlineStr">
        <is>
          <t>IW-4830</t>
        </is>
      </c>
      <c r="B14" t="n">
        <v>3</v>
      </c>
      <c r="C14" t="inlineStr">
        <is>
          <t>SA-FRM48 &gt; SA-LEG &gt; TUB-2020</t>
        </is>
      </c>
      <c r="D14" t="inlineStr">
        <is>
          <t>TUB-2020</t>
        </is>
      </c>
      <c r="E14" t="n">
        <v>11</v>
      </c>
      <c r="F14">
        <f>VLOOKUP(D14,Prices!$A$2:$E$19,5,FALSE)</f>
        <v/>
      </c>
      <c r="G14">
        <f>ROUND(E14*F14,4)</f>
        <v/>
      </c>
    </row>
    <row r="15">
      <c r="A15" t="inlineStr">
        <is>
          <t>IW-4830</t>
        </is>
      </c>
      <c r="B15" t="n">
        <v>3</v>
      </c>
      <c r="C15" t="inlineStr">
        <is>
          <t>SA-FRM48 &gt; SA-LEG &gt; PLT-0404</t>
        </is>
      </c>
      <c r="D15" t="inlineStr">
        <is>
          <t>PLT-0404</t>
        </is>
      </c>
      <c r="E15" t="n">
        <v>4</v>
      </c>
      <c r="F15">
        <f>VLOOKUP(D15,Prices!$A$2:$E$19,5,FALSE)</f>
        <v/>
      </c>
      <c r="G15">
        <f>ROUND(E15*F15,4)</f>
        <v/>
      </c>
    </row>
    <row r="16">
      <c r="A16" t="inlineStr">
        <is>
          <t>IW-4830</t>
        </is>
      </c>
      <c r="B16" t="n">
        <v>3</v>
      </c>
      <c r="C16" t="inlineStr">
        <is>
          <t>SA-FRM48 &gt; SA-LEG &gt; LEV-58</t>
        </is>
      </c>
      <c r="D16" t="inlineStr">
        <is>
          <t>LEV-58</t>
        </is>
      </c>
      <c r="E16" t="n">
        <v>4</v>
      </c>
      <c r="F16">
        <f>VLOOKUP(D16,Prices!$A$2:$E$19,5,FALSE)</f>
        <v/>
      </c>
      <c r="G16">
        <f>ROUND(E16*F16,4)</f>
        <v/>
      </c>
    </row>
    <row r="17">
      <c r="A17" t="inlineStr">
        <is>
          <t>IW-4830</t>
        </is>
      </c>
      <c r="B17" t="n">
        <v>2</v>
      </c>
      <c r="C17" t="inlineStr">
        <is>
          <t>SA-FRM48 &gt; TUB-2020</t>
        </is>
      </c>
      <c r="D17" t="inlineStr">
        <is>
          <t>TUB-2020</t>
        </is>
      </c>
      <c r="E17" t="n">
        <v>9.5</v>
      </c>
      <c r="F17">
        <f>VLOOKUP(D17,Prices!$A$2:$E$19,5,FALSE)</f>
        <v/>
      </c>
      <c r="G17">
        <f>ROUND(E17*F17,4)</f>
        <v/>
      </c>
    </row>
    <row r="18">
      <c r="A18" t="inlineStr">
        <is>
          <t>IW-4830</t>
        </is>
      </c>
      <c r="B18" t="n">
        <v>2</v>
      </c>
      <c r="C18" t="inlineStr">
        <is>
          <t>SA-FRM48 &gt; BLT-M10</t>
        </is>
      </c>
      <c r="D18" t="inlineStr">
        <is>
          <t>BLT-M10</t>
        </is>
      </c>
      <c r="E18" t="n">
        <v>8</v>
      </c>
      <c r="F18">
        <f>VLOOKUP(D18,Prices!$A$2:$E$19,5,FALSE)</f>
        <v/>
      </c>
      <c r="G18">
        <f>ROUND(E18*F18,4)</f>
        <v/>
      </c>
    </row>
    <row r="19">
      <c r="A19" t="inlineStr">
        <is>
          <t>IW-4830</t>
        </is>
      </c>
      <c r="B19" t="n">
        <v>1</v>
      </c>
      <c r="C19" t="inlineStr">
        <is>
          <t>TOP-4830</t>
        </is>
      </c>
      <c r="D19" t="inlineStr">
        <is>
          <t>TOP-4830</t>
        </is>
      </c>
      <c r="E19" t="n">
        <v>1</v>
      </c>
      <c r="F19">
        <f>VLOOKUP(D19,Prices!$A$2:$E$19,5,FALSE)</f>
        <v/>
      </c>
      <c r="G19">
        <f>ROUND(E19*F19,4)</f>
        <v/>
      </c>
    </row>
    <row r="20">
      <c r="A20" t="inlineStr">
        <is>
          <t>IW-4830</t>
        </is>
      </c>
      <c r="B20" t="n">
        <v>3</v>
      </c>
      <c r="C20" t="inlineStr">
        <is>
          <t>SA-DRW &gt; SA-DBX &gt; SHT-1624</t>
        </is>
      </c>
      <c r="D20" t="inlineStr">
        <is>
          <t>SHT-1624</t>
        </is>
      </c>
      <c r="E20" t="n">
        <v>0.5</v>
      </c>
      <c r="F20">
        <f>VLOOKUP(D20,Prices!$A$2:$E$19,5,FALSE)</f>
        <v/>
      </c>
      <c r="G20">
        <f>ROUND(E20*F20,4)</f>
        <v/>
      </c>
    </row>
    <row r="21">
      <c r="A21" t="inlineStr">
        <is>
          <t>IW-4830</t>
        </is>
      </c>
      <c r="B21" t="n">
        <v>3</v>
      </c>
      <c r="C21" t="inlineStr">
        <is>
          <t>SA-DRW &gt; SA-DBX &gt; PUL-01</t>
        </is>
      </c>
      <c r="D21" t="inlineStr">
        <is>
          <t>PUL-01</t>
        </is>
      </c>
      <c r="E21" t="n">
        <v>1</v>
      </c>
      <c r="F21">
        <f>VLOOKUP(D21,Prices!$A$2:$E$19,5,FALSE)</f>
        <v/>
      </c>
      <c r="G21">
        <f>ROUND(E21*F21,4)</f>
        <v/>
      </c>
    </row>
    <row r="22">
      <c r="A22" t="inlineStr">
        <is>
          <t>IW-4830</t>
        </is>
      </c>
      <c r="B22" t="n">
        <v>2</v>
      </c>
      <c r="C22" t="inlineStr">
        <is>
          <t>SA-DRW &gt; SLD-18</t>
        </is>
      </c>
      <c r="D22" t="inlineStr">
        <is>
          <t>SLD-18</t>
        </is>
      </c>
      <c r="E22" t="n">
        <v>1</v>
      </c>
      <c r="F22">
        <f>VLOOKUP(D22,Prices!$A$2:$E$19,5,FALSE)</f>
        <v/>
      </c>
      <c r="G22">
        <f>ROUND(E22*F22,4)</f>
        <v/>
      </c>
    </row>
    <row r="23">
      <c r="A23" t="inlineStr">
        <is>
          <t>IW-4830</t>
        </is>
      </c>
      <c r="B23" t="n">
        <v>2</v>
      </c>
      <c r="C23" t="inlineStr">
        <is>
          <t>SA-DRW &gt; BLT-M10</t>
        </is>
      </c>
      <c r="D23" t="inlineStr">
        <is>
          <t>BLT-M10</t>
        </is>
      </c>
      <c r="E23" t="n">
        <v>6</v>
      </c>
      <c r="F23">
        <f>VLOOKUP(D23,Prices!$A$2:$E$19,5,FALSE)</f>
        <v/>
      </c>
      <c r="G23">
        <f>ROUND(E23*F23,4)</f>
        <v/>
      </c>
    </row>
    <row r="24">
      <c r="A24" t="inlineStr">
        <is>
          <t>IW-4830</t>
        </is>
      </c>
      <c r="B24" t="n">
        <v>1</v>
      </c>
      <c r="C24" t="inlineStr">
        <is>
          <t>BLT-M10</t>
        </is>
      </c>
      <c r="D24" t="inlineStr">
        <is>
          <t>BLT-M10</t>
        </is>
      </c>
      <c r="E24" t="n">
        <v>8</v>
      </c>
      <c r="F24">
        <f>VLOOKUP(D24,Prices!$A$2:$E$19,5,FALSE)</f>
        <v/>
      </c>
      <c r="G24">
        <f>ROUND(E24*F24,4)</f>
        <v/>
      </c>
    </row>
    <row r="25">
      <c r="A25" t="inlineStr">
        <is>
          <t>IW-4830</t>
        </is>
      </c>
      <c r="B25" t="n">
        <v>1</v>
      </c>
      <c r="C25" t="inlineStr">
        <is>
          <t>NUT-M10</t>
        </is>
      </c>
      <c r="D25" t="inlineStr">
        <is>
          <t>NUT-M10</t>
        </is>
      </c>
      <c r="E25" t="n">
        <v>8</v>
      </c>
      <c r="F25">
        <f>VLOOKUP(D25,Prices!$A$2:$E$19,5,FALSE)</f>
        <v/>
      </c>
      <c r="G25">
        <f>ROUND(E25*F25,4)</f>
        <v/>
      </c>
    </row>
    <row r="26">
      <c r="A26" t="inlineStr">
        <is>
          <t>IW-SR5</t>
        </is>
      </c>
      <c r="B26" t="n">
        <v>2</v>
      </c>
      <c r="C26" t="inlineStr">
        <is>
          <t>SA-UPR &gt; TUB-1515</t>
        </is>
      </c>
      <c r="D26" t="inlineStr">
        <is>
          <t>TUB-1515</t>
        </is>
      </c>
      <c r="E26" t="n">
        <v>24</v>
      </c>
      <c r="F26">
        <f>VLOOKUP(D26,Prices!$A$2:$E$19,5,FALSE)</f>
        <v/>
      </c>
      <c r="G26">
        <f>ROUND(E26*F26,4)</f>
        <v/>
      </c>
    </row>
    <row r="27">
      <c r="A27" t="inlineStr">
        <is>
          <t>IW-SR5</t>
        </is>
      </c>
      <c r="B27" t="n">
        <v>2</v>
      </c>
      <c r="C27" t="inlineStr">
        <is>
          <t>SA-UPR &gt; ANG-1010</t>
        </is>
      </c>
      <c r="D27" t="inlineStr">
        <is>
          <t>ANG-1010</t>
        </is>
      </c>
      <c r="E27" t="n">
        <v>7</v>
      </c>
      <c r="F27">
        <f>VLOOKUP(D27,Prices!$A$2:$E$19,5,FALSE)</f>
        <v/>
      </c>
      <c r="G27">
        <f>ROUND(E27*F27,4)</f>
        <v/>
      </c>
    </row>
    <row r="28">
      <c r="A28" t="inlineStr">
        <is>
          <t>IW-SR5</t>
        </is>
      </c>
      <c r="B28" t="n">
        <v>2</v>
      </c>
      <c r="C28" t="inlineStr">
        <is>
          <t>SA-UPR &gt; PLT-0404</t>
        </is>
      </c>
      <c r="D28" t="inlineStr">
        <is>
          <t>PLT-0404</t>
        </is>
      </c>
      <c r="E28" t="n">
        <v>4</v>
      </c>
      <c r="F28">
        <f>VLOOKUP(D28,Prices!$A$2:$E$19,5,FALSE)</f>
        <v/>
      </c>
      <c r="G28">
        <f>ROUND(E28*F28,4)</f>
        <v/>
      </c>
    </row>
    <row r="29">
      <c r="A29" t="inlineStr">
        <is>
          <t>IW-SR5</t>
        </is>
      </c>
      <c r="B29" t="n">
        <v>1</v>
      </c>
      <c r="C29" t="inlineStr">
        <is>
          <t>SHF-4818</t>
        </is>
      </c>
      <c r="D29" t="inlineStr">
        <is>
          <t>SHF-4818</t>
        </is>
      </c>
      <c r="E29" t="n">
        <v>5</v>
      </c>
      <c r="F29">
        <f>VLOOKUP(D29,Prices!$A$2:$E$19,5,FALSE)</f>
        <v/>
      </c>
      <c r="G29">
        <f>ROUND(E29*F29,4)</f>
        <v/>
      </c>
    </row>
    <row r="30">
      <c r="A30" t="inlineStr">
        <is>
          <t>IW-SR5</t>
        </is>
      </c>
      <c r="B30" t="n">
        <v>1</v>
      </c>
      <c r="C30" t="inlineStr">
        <is>
          <t>BLT-M10</t>
        </is>
      </c>
      <c r="D30" t="inlineStr">
        <is>
          <t>BLT-M10</t>
        </is>
      </c>
      <c r="E30" t="n">
        <v>40</v>
      </c>
      <c r="F30">
        <f>VLOOKUP(D30,Prices!$A$2:$E$19,5,FALSE)</f>
        <v/>
      </c>
      <c r="G30">
        <f>ROUND(E30*F30,4)</f>
        <v/>
      </c>
    </row>
    <row r="31">
      <c r="A31" t="inlineStr">
        <is>
          <t>IW-SR5</t>
        </is>
      </c>
      <c r="B31" t="n">
        <v>1</v>
      </c>
      <c r="C31" t="inlineStr">
        <is>
          <t>NUT-M10</t>
        </is>
      </c>
      <c r="D31" t="inlineStr">
        <is>
          <t>NUT-M10</t>
        </is>
      </c>
      <c r="E31" t="n">
        <v>40</v>
      </c>
      <c r="F31">
        <f>VLOOKUP(D31,Prices!$A$2:$E$19,5,FALSE)</f>
        <v/>
      </c>
      <c r="G31">
        <f>ROUND(E31*F31,4)</f>
        <v/>
      </c>
    </row>
    <row r="32">
      <c r="A32" t="inlineStr">
        <is>
          <t>IW-MC2</t>
        </is>
      </c>
      <c r="B32" t="n">
        <v>2</v>
      </c>
      <c r="C32" t="inlineStr">
        <is>
          <t>SA-FRMC &gt; TUB-1515</t>
        </is>
      </c>
      <c r="D32" t="inlineStr">
        <is>
          <t>TUB-1515</t>
        </is>
      </c>
      <c r="E32" t="n">
        <v>13</v>
      </c>
      <c r="F32">
        <f>VLOOKUP(D32,Prices!$A$2:$E$19,5,FALSE)</f>
        <v/>
      </c>
      <c r="G32">
        <f>ROUND(E32*F32,4)</f>
        <v/>
      </c>
    </row>
    <row r="33">
      <c r="A33" t="inlineStr">
        <is>
          <t>IW-MC2</t>
        </is>
      </c>
      <c r="B33" t="n">
        <v>2</v>
      </c>
      <c r="C33" t="inlineStr">
        <is>
          <t>SA-FRMC &gt; ANG-1010</t>
        </is>
      </c>
      <c r="D33" t="inlineStr">
        <is>
          <t>ANG-1010</t>
        </is>
      </c>
      <c r="E33" t="n">
        <v>6</v>
      </c>
      <c r="F33">
        <f>VLOOKUP(D33,Prices!$A$2:$E$19,5,FALSE)</f>
        <v/>
      </c>
      <c r="G33">
        <f>ROUND(E33*F33,4)</f>
        <v/>
      </c>
    </row>
    <row r="34">
      <c r="A34" t="inlineStr">
        <is>
          <t>IW-MC2</t>
        </is>
      </c>
      <c r="B34" t="n">
        <v>2</v>
      </c>
      <c r="C34" t="inlineStr">
        <is>
          <t>SA-FRMC &gt; HDL-12</t>
        </is>
      </c>
      <c r="D34" t="inlineStr">
        <is>
          <t>HDL-12</t>
        </is>
      </c>
      <c r="E34" t="n">
        <v>1</v>
      </c>
      <c r="F34">
        <f>VLOOKUP(D34,Prices!$A$2:$E$19,5,FALSE)</f>
        <v/>
      </c>
      <c r="G34">
        <f>ROUND(E34*F34,4)</f>
        <v/>
      </c>
    </row>
    <row r="35">
      <c r="A35" t="inlineStr">
        <is>
          <t>IW-MC2</t>
        </is>
      </c>
      <c r="B35" t="n">
        <v>2</v>
      </c>
      <c r="C35" t="inlineStr">
        <is>
          <t>SA-FRMC &gt; BLT-M10</t>
        </is>
      </c>
      <c r="D35" t="inlineStr">
        <is>
          <t>BLT-M10</t>
        </is>
      </c>
      <c r="E35" t="n">
        <v>8</v>
      </c>
      <c r="F35">
        <f>VLOOKUP(D35,Prices!$A$2:$E$19,5,FALSE)</f>
        <v/>
      </c>
      <c r="G35">
        <f>ROUND(E35*F35,4)</f>
        <v/>
      </c>
    </row>
    <row r="36">
      <c r="A36" t="inlineStr">
        <is>
          <t>IW-MC2</t>
        </is>
      </c>
      <c r="B36" t="n">
        <v>2</v>
      </c>
      <c r="C36" t="inlineStr">
        <is>
          <t>SA-CKT &gt; CST-5</t>
        </is>
      </c>
      <c r="D36" t="inlineStr">
        <is>
          <t>CST-5</t>
        </is>
      </c>
      <c r="E36" t="n">
        <v>4</v>
      </c>
      <c r="F36">
        <f>VLOOKUP(D36,Prices!$A$2:$E$19,5,FALSE)</f>
        <v/>
      </c>
      <c r="G36">
        <f>ROUND(E36*F36,4)</f>
        <v/>
      </c>
    </row>
    <row r="37">
      <c r="A37" t="inlineStr">
        <is>
          <t>IW-MC2</t>
        </is>
      </c>
      <c r="B37" t="n">
        <v>2</v>
      </c>
      <c r="C37" t="inlineStr">
        <is>
          <t>SA-CKT &gt; BLT-M10</t>
        </is>
      </c>
      <c r="D37" t="inlineStr">
        <is>
          <t>BLT-M10</t>
        </is>
      </c>
      <c r="E37" t="n">
        <v>16</v>
      </c>
      <c r="F37">
        <f>VLOOKUP(D37,Prices!$A$2:$E$19,5,FALSE)</f>
        <v/>
      </c>
      <c r="G37">
        <f>ROUND(E37*F37,4)</f>
        <v/>
      </c>
    </row>
    <row r="38">
      <c r="A38" t="inlineStr">
        <is>
          <t>IW-MC2</t>
        </is>
      </c>
      <c r="B38" t="n">
        <v>2</v>
      </c>
      <c r="C38" t="inlineStr">
        <is>
          <t>SA-CKT &gt; NUT-M10</t>
        </is>
      </c>
      <c r="D38" t="inlineStr">
        <is>
          <t>NUT-M10</t>
        </is>
      </c>
      <c r="E38" t="n">
        <v>16</v>
      </c>
      <c r="F38">
        <f>VLOOKUP(D38,Prices!$A$2:$E$19,5,FALSE)</f>
        <v/>
      </c>
      <c r="G38">
        <f>ROUND(E38*F38,4)</f>
        <v/>
      </c>
    </row>
    <row r="39">
      <c r="A39" t="inlineStr">
        <is>
          <t>IW-MC2</t>
        </is>
      </c>
      <c r="B39" t="n">
        <v>2</v>
      </c>
      <c r="C39" t="inlineStr">
        <is>
          <t>SA-SHF &gt; SHF-4818</t>
        </is>
      </c>
      <c r="D39" t="inlineStr">
        <is>
          <t>SHF-4818</t>
        </is>
      </c>
      <c r="E39" t="n">
        <v>2</v>
      </c>
      <c r="F39">
        <f>VLOOKUP(D39,Prices!$A$2:$E$19,5,FALSE)</f>
        <v/>
      </c>
      <c r="G39">
        <f>ROUND(E39*F39,4)</f>
        <v/>
      </c>
    </row>
    <row r="40">
      <c r="A40" t="inlineStr">
        <is>
          <t>IW-MC2</t>
        </is>
      </c>
      <c r="B40" t="n">
        <v>2</v>
      </c>
      <c r="C40" t="inlineStr">
        <is>
          <t>SA-SHF &gt; ANG-1010</t>
        </is>
      </c>
      <c r="D40" t="inlineStr">
        <is>
          <t>ANG-1010</t>
        </is>
      </c>
      <c r="E40" t="n">
        <v>12</v>
      </c>
      <c r="F40">
        <f>VLOOKUP(D40,Prices!$A$2:$E$19,5,FALSE)</f>
        <v/>
      </c>
      <c r="G40">
        <f>ROUND(E40*F40,4)</f>
        <v/>
      </c>
    </row>
    <row r="41">
      <c r="A41" t="inlineStr">
        <is>
          <t>IW-MC2</t>
        </is>
      </c>
      <c r="B41" t="n">
        <v>2</v>
      </c>
      <c r="C41" t="inlineStr">
        <is>
          <t>SA-SHF &gt; BLT-M10</t>
        </is>
      </c>
      <c r="D41" t="inlineStr">
        <is>
          <t>BLT-M10</t>
        </is>
      </c>
      <c r="E41" t="n">
        <v>8</v>
      </c>
      <c r="F41">
        <f>VLOOKUP(D41,Prices!$A$2:$E$19,5,FALSE)</f>
        <v/>
      </c>
      <c r="G41">
        <f>ROUND(E41*F41,4)</f>
        <v/>
      </c>
    </row>
    <row r="42">
      <c r="A42" t="inlineStr">
        <is>
          <t>IW-MC2</t>
        </is>
      </c>
      <c r="B42" t="n">
        <v>2</v>
      </c>
      <c r="C42" t="inlineStr">
        <is>
          <t>SA-SHF &gt; NUT-M10</t>
        </is>
      </c>
      <c r="D42" t="inlineStr">
        <is>
          <t>NUT-M10</t>
        </is>
      </c>
      <c r="E42" t="n">
        <v>8</v>
      </c>
      <c r="F42">
        <f>VLOOKUP(D42,Prices!$A$2:$E$19,5,FALSE)</f>
        <v/>
      </c>
      <c r="G42">
        <f>ROUND(E42*F42,4)</f>
        <v/>
      </c>
    </row>
    <row r="43">
      <c r="A43" t="inlineStr">
        <is>
          <t>IW-MC2</t>
        </is>
      </c>
      <c r="B43" t="n">
        <v>1</v>
      </c>
      <c r="C43" t="inlineStr">
        <is>
          <t>BLT-M10</t>
        </is>
      </c>
      <c r="D43" t="inlineStr">
        <is>
          <t>BLT-M10</t>
        </is>
      </c>
      <c r="E43" t="n">
        <v>8</v>
      </c>
      <c r="F43">
        <f>VLOOKUP(D43,Prices!$A$2:$E$19,5,FALSE)</f>
        <v/>
      </c>
      <c r="G43">
        <f>ROUND(E43*F43,4)</f>
        <v/>
      </c>
    </row>
    <row r="44">
      <c r="A44" t="inlineStr">
        <is>
          <t>IW-TS1</t>
        </is>
      </c>
      <c r="B44" t="n">
        <v>3</v>
      </c>
      <c r="C44" t="inlineStr">
        <is>
          <t>SA-FRM48 &gt; SA-LEG &gt; TUB-2020</t>
        </is>
      </c>
      <c r="D44" t="inlineStr">
        <is>
          <t>TUB-2020</t>
        </is>
      </c>
      <c r="E44" t="n">
        <v>11</v>
      </c>
      <c r="F44">
        <f>VLOOKUP(D44,Prices!$A$2:$E$19,5,FALSE)</f>
        <v/>
      </c>
      <c r="G44">
        <f>ROUND(E44*F44,4)</f>
        <v/>
      </c>
    </row>
    <row r="45">
      <c r="A45" t="inlineStr">
        <is>
          <t>IW-TS1</t>
        </is>
      </c>
      <c r="B45" t="n">
        <v>3</v>
      </c>
      <c r="C45" t="inlineStr">
        <is>
          <t>SA-FRM48 &gt; SA-LEG &gt; PLT-0404</t>
        </is>
      </c>
      <c r="D45" t="inlineStr">
        <is>
          <t>PLT-0404</t>
        </is>
      </c>
      <c r="E45" t="n">
        <v>4</v>
      </c>
      <c r="F45">
        <f>VLOOKUP(D45,Prices!$A$2:$E$19,5,FALSE)</f>
        <v/>
      </c>
      <c r="G45">
        <f>ROUND(E45*F45,4)</f>
        <v/>
      </c>
    </row>
    <row r="46">
      <c r="A46" t="inlineStr">
        <is>
          <t>IW-TS1</t>
        </is>
      </c>
      <c r="B46" t="n">
        <v>3</v>
      </c>
      <c r="C46" t="inlineStr">
        <is>
          <t>SA-FRM48 &gt; SA-LEG &gt; LEV-58</t>
        </is>
      </c>
      <c r="D46" t="inlineStr">
        <is>
          <t>LEV-58</t>
        </is>
      </c>
      <c r="E46" t="n">
        <v>4</v>
      </c>
      <c r="F46">
        <f>VLOOKUP(D46,Prices!$A$2:$E$19,5,FALSE)</f>
        <v/>
      </c>
      <c r="G46">
        <f>ROUND(E46*F46,4)</f>
        <v/>
      </c>
    </row>
    <row r="47">
      <c r="A47" t="inlineStr">
        <is>
          <t>IW-TS1</t>
        </is>
      </c>
      <c r="B47" t="n">
        <v>2</v>
      </c>
      <c r="C47" t="inlineStr">
        <is>
          <t>SA-FRM48 &gt; TUB-2020</t>
        </is>
      </c>
      <c r="D47" t="inlineStr">
        <is>
          <t>TUB-2020</t>
        </is>
      </c>
      <c r="E47" t="n">
        <v>9.5</v>
      </c>
      <c r="F47">
        <f>VLOOKUP(D47,Prices!$A$2:$E$19,5,FALSE)</f>
        <v/>
      </c>
      <c r="G47">
        <f>ROUND(E47*F47,4)</f>
        <v/>
      </c>
    </row>
    <row r="48">
      <c r="A48" t="inlineStr">
        <is>
          <t>IW-TS1</t>
        </is>
      </c>
      <c r="B48" t="n">
        <v>2</v>
      </c>
      <c r="C48" t="inlineStr">
        <is>
          <t>SA-FRM48 &gt; BLT-M10</t>
        </is>
      </c>
      <c r="D48" t="inlineStr">
        <is>
          <t>BLT-M10</t>
        </is>
      </c>
      <c r="E48" t="n">
        <v>8</v>
      </c>
      <c r="F48">
        <f>VLOOKUP(D48,Prices!$A$2:$E$19,5,FALSE)</f>
        <v/>
      </c>
      <c r="G48">
        <f>ROUND(E48*F48,4)</f>
        <v/>
      </c>
    </row>
    <row r="49">
      <c r="A49" t="inlineStr">
        <is>
          <t>IW-TS1</t>
        </is>
      </c>
      <c r="B49" t="n">
        <v>2</v>
      </c>
      <c r="C49" t="inlineStr">
        <is>
          <t>SA-PEG &gt; PEG-2448</t>
        </is>
      </c>
      <c r="D49" t="inlineStr">
        <is>
          <t>PEG-2448</t>
        </is>
      </c>
      <c r="E49" t="n">
        <v>1</v>
      </c>
      <c r="F49">
        <f>VLOOKUP(D49,Prices!$A$2:$E$19,5,FALSE)</f>
        <v/>
      </c>
      <c r="G49">
        <f>ROUND(E49*F49,4)</f>
        <v/>
      </c>
    </row>
    <row r="50">
      <c r="A50" t="inlineStr">
        <is>
          <t>IW-TS1</t>
        </is>
      </c>
      <c r="B50" t="n">
        <v>2</v>
      </c>
      <c r="C50" t="inlineStr">
        <is>
          <t>SA-PEG &gt; ANG-1010</t>
        </is>
      </c>
      <c r="D50" t="inlineStr">
        <is>
          <t>ANG-1010</t>
        </is>
      </c>
      <c r="E50" t="n">
        <v>7</v>
      </c>
      <c r="F50">
        <f>VLOOKUP(D50,Prices!$A$2:$E$19,5,FALSE)</f>
        <v/>
      </c>
      <c r="G50">
        <f>ROUND(E50*F50,4)</f>
        <v/>
      </c>
    </row>
    <row r="51">
      <c r="A51" t="inlineStr">
        <is>
          <t>IW-TS1</t>
        </is>
      </c>
      <c r="B51" t="n">
        <v>2</v>
      </c>
      <c r="C51" t="inlineStr">
        <is>
          <t>SA-PEG &gt; BLT-M10</t>
        </is>
      </c>
      <c r="D51" t="inlineStr">
        <is>
          <t>BLT-M10</t>
        </is>
      </c>
      <c r="E51" t="n">
        <v>6</v>
      </c>
      <c r="F51">
        <f>VLOOKUP(D51,Prices!$A$2:$E$19,5,FALSE)</f>
        <v/>
      </c>
      <c r="G51">
        <f>ROUND(E51*F51,4)</f>
        <v/>
      </c>
    </row>
    <row r="52">
      <c r="A52" t="inlineStr">
        <is>
          <t>IW-TS1</t>
        </is>
      </c>
      <c r="B52" t="n">
        <v>2</v>
      </c>
      <c r="C52" t="inlineStr">
        <is>
          <t>SA-CKT &gt; CST-5</t>
        </is>
      </c>
      <c r="D52" t="inlineStr">
        <is>
          <t>CST-5</t>
        </is>
      </c>
      <c r="E52" t="n">
        <v>4</v>
      </c>
      <c r="F52">
        <f>VLOOKUP(D52,Prices!$A$2:$E$19,5,FALSE)</f>
        <v/>
      </c>
      <c r="G52">
        <f>ROUND(E52*F52,4)</f>
        <v/>
      </c>
    </row>
    <row r="53">
      <c r="A53" t="inlineStr">
        <is>
          <t>IW-TS1</t>
        </is>
      </c>
      <c r="B53" t="n">
        <v>2</v>
      </c>
      <c r="C53" t="inlineStr">
        <is>
          <t>SA-CKT &gt; BLT-M10</t>
        </is>
      </c>
      <c r="D53" t="inlineStr">
        <is>
          <t>BLT-M10</t>
        </is>
      </c>
      <c r="E53" t="n">
        <v>16</v>
      </c>
      <c r="F53">
        <f>VLOOKUP(D53,Prices!$A$2:$E$19,5,FALSE)</f>
        <v/>
      </c>
      <c r="G53">
        <f>ROUND(E53*F53,4)</f>
        <v/>
      </c>
    </row>
    <row r="54">
      <c r="A54" t="inlineStr">
        <is>
          <t>IW-TS1</t>
        </is>
      </c>
      <c r="B54" t="n">
        <v>2</v>
      </c>
      <c r="C54" t="inlineStr">
        <is>
          <t>SA-CKT &gt; NUT-M10</t>
        </is>
      </c>
      <c r="D54" t="inlineStr">
        <is>
          <t>NUT-M10</t>
        </is>
      </c>
      <c r="E54" t="n">
        <v>16</v>
      </c>
      <c r="F54">
        <f>VLOOKUP(D54,Prices!$A$2:$E$19,5,FALSE)</f>
        <v/>
      </c>
      <c r="G54">
        <f>ROUND(E54*F54,4)</f>
        <v/>
      </c>
    </row>
    <row r="55">
      <c r="A55" t="inlineStr">
        <is>
          <t>IW-TS1</t>
        </is>
      </c>
      <c r="B55" t="n">
        <v>3</v>
      </c>
      <c r="C55" t="inlineStr">
        <is>
          <t>SA-DRW &gt; SA-DBX &gt; SHT-1624</t>
        </is>
      </c>
      <c r="D55" t="inlineStr">
        <is>
          <t>SHT-1624</t>
        </is>
      </c>
      <c r="E55" t="n">
        <v>1.5</v>
      </c>
      <c r="F55">
        <f>VLOOKUP(D55,Prices!$A$2:$E$19,5,FALSE)</f>
        <v/>
      </c>
      <c r="G55">
        <f>ROUND(E55*F55,4)</f>
        <v/>
      </c>
    </row>
    <row r="56">
      <c r="A56" t="inlineStr">
        <is>
          <t>IW-TS1</t>
        </is>
      </c>
      <c r="B56" t="n">
        <v>3</v>
      </c>
      <c r="C56" t="inlineStr">
        <is>
          <t>SA-DRW &gt; SA-DBX &gt; PUL-01</t>
        </is>
      </c>
      <c r="D56" t="inlineStr">
        <is>
          <t>PUL-01</t>
        </is>
      </c>
      <c r="E56" t="n">
        <v>3</v>
      </c>
      <c r="F56">
        <f>VLOOKUP(D56,Prices!$A$2:$E$19,5,FALSE)</f>
        <v/>
      </c>
      <c r="G56">
        <f>ROUND(E56*F56,4)</f>
        <v/>
      </c>
    </row>
    <row r="57">
      <c r="A57" t="inlineStr">
        <is>
          <t>IW-TS1</t>
        </is>
      </c>
      <c r="B57" t="n">
        <v>2</v>
      </c>
      <c r="C57" t="inlineStr">
        <is>
          <t>SA-DRW &gt; SLD-18</t>
        </is>
      </c>
      <c r="D57" t="inlineStr">
        <is>
          <t>SLD-18</t>
        </is>
      </c>
      <c r="E57" t="n">
        <v>3</v>
      </c>
      <c r="F57">
        <f>VLOOKUP(D57,Prices!$A$2:$E$19,5,FALSE)</f>
        <v/>
      </c>
      <c r="G57">
        <f>ROUND(E57*F57,4)</f>
        <v/>
      </c>
    </row>
    <row r="58">
      <c r="A58" t="inlineStr">
        <is>
          <t>IW-TS1</t>
        </is>
      </c>
      <c r="B58" t="n">
        <v>2</v>
      </c>
      <c r="C58" t="inlineStr">
        <is>
          <t>SA-DRW &gt; BLT-M10</t>
        </is>
      </c>
      <c r="D58" t="inlineStr">
        <is>
          <t>BLT-M10</t>
        </is>
      </c>
      <c r="E58" t="n">
        <v>18</v>
      </c>
      <c r="F58">
        <f>VLOOKUP(D58,Prices!$A$2:$E$19,5,FALSE)</f>
        <v/>
      </c>
      <c r="G58">
        <f>ROUND(E58*F58,4)</f>
        <v/>
      </c>
    </row>
    <row r="59">
      <c r="A59" t="inlineStr">
        <is>
          <t>IW-TS1</t>
        </is>
      </c>
      <c r="B59" t="n">
        <v>1</v>
      </c>
      <c r="C59" t="inlineStr">
        <is>
          <t>OUT-6</t>
        </is>
      </c>
      <c r="D59" t="inlineStr">
        <is>
          <t>OUT-6</t>
        </is>
      </c>
      <c r="E59" t="n">
        <v>1</v>
      </c>
      <c r="F59">
        <f>VLOOKUP(D59,Prices!$A$2:$E$19,5,FALSE)</f>
        <v/>
      </c>
      <c r="G59">
        <f>ROUND(E59*F59,4)</f>
        <v/>
      </c>
    </row>
    <row r="60">
      <c r="A60" t="inlineStr">
        <is>
          <t>IW-TS1</t>
        </is>
      </c>
      <c r="B60" t="n">
        <v>1</v>
      </c>
      <c r="C60" t="inlineStr">
        <is>
          <t>SHF-4818</t>
        </is>
      </c>
      <c r="D60" t="inlineStr">
        <is>
          <t>SHF-4818</t>
        </is>
      </c>
      <c r="E60" t="n">
        <v>1</v>
      </c>
      <c r="F60">
        <f>VLOOKUP(D60,Prices!$A$2:$E$19,5,FALSE)</f>
        <v/>
      </c>
      <c r="G60">
        <f>ROUND(E60*F60,4)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2" max="2"/>
    <col width="30" customWidth="1" min="6" max="6"/>
  </cols>
  <sheetData>
    <row r="1">
      <c r="A1" s="1" t="inlineStr">
        <is>
          <t>Part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Per</t>
        </is>
      </c>
      <c r="E1" s="1" t="inlineStr">
        <is>
          <t>Unit cost</t>
        </is>
      </c>
      <c r="F1" s="1" t="inlineStr">
        <is>
          <t>Note</t>
        </is>
      </c>
    </row>
    <row r="2">
      <c r="A2" t="inlineStr">
        <is>
          <t>TUB-2020</t>
        </is>
      </c>
      <c r="B2" t="inlineStr">
        <is>
          <t>Steel tube 2x2 11ga</t>
        </is>
      </c>
      <c r="C2" t="n">
        <v>4.08</v>
      </c>
      <c r="D2" t="n">
        <v>1</v>
      </c>
      <c r="E2">
        <f>ROUND(C2/D2,4)</f>
        <v/>
      </c>
      <c r="F2" t="inlineStr">
        <is>
          <t>ft</t>
        </is>
      </c>
    </row>
    <row r="3">
      <c r="A3" t="inlineStr">
        <is>
          <t>TUB-1515</t>
        </is>
      </c>
      <c r="B3" t="inlineStr">
        <is>
          <t>Steel tube 1.5x1.5 14ga</t>
        </is>
      </c>
      <c r="C3" t="n">
        <v>2.55</v>
      </c>
      <c r="D3" t="n">
        <v>1</v>
      </c>
      <c r="E3">
        <f>ROUND(C3/D3,4)</f>
        <v/>
      </c>
      <c r="F3" t="inlineStr">
        <is>
          <t>ft</t>
        </is>
      </c>
    </row>
    <row r="4">
      <c r="A4" t="inlineStr">
        <is>
          <t>ANG-1010</t>
        </is>
      </c>
      <c r="B4" t="inlineStr">
        <is>
          <t>Steel angle 1x1 x 1/8</t>
        </is>
      </c>
      <c r="C4" t="n">
        <v>1.12</v>
      </c>
      <c r="D4" t="n">
        <v>1</v>
      </c>
      <c r="E4">
        <f>ROUND(C4/D4,4)</f>
        <v/>
      </c>
      <c r="F4" t="inlineStr">
        <is>
          <t>ft</t>
        </is>
      </c>
    </row>
    <row r="5">
      <c r="A5" t="inlineStr">
        <is>
          <t>PLT-0404</t>
        </is>
      </c>
      <c r="B5" t="inlineStr">
        <is>
          <t>Base plate 4x4 x 1/4</t>
        </is>
      </c>
      <c r="C5" t="n">
        <v>2.58</v>
      </c>
      <c r="D5" t="n">
        <v>1</v>
      </c>
      <c r="E5">
        <f>ROUND(C5/D5,4)</f>
        <v/>
      </c>
      <c r="F5" t="inlineStr">
        <is>
          <t>each</t>
        </is>
      </c>
    </row>
    <row r="6">
      <c r="A6" t="inlineStr">
        <is>
          <t>LEV-58</t>
        </is>
      </c>
      <c r="B6" t="inlineStr">
        <is>
          <t>Leveling foot 5/8-11</t>
        </is>
      </c>
      <c r="C6" t="n">
        <v>3.21</v>
      </c>
      <c r="D6" t="n">
        <v>1</v>
      </c>
      <c r="E6">
        <f>ROUND(C6/D6,4)</f>
        <v/>
      </c>
      <c r="F6" t="inlineStr">
        <is>
          <t>each</t>
        </is>
      </c>
    </row>
    <row r="7">
      <c r="A7" t="inlineStr">
        <is>
          <t>TOP-7230</t>
        </is>
      </c>
      <c r="B7" t="inlineStr">
        <is>
          <t>Maple butcher block top 72x30</t>
        </is>
      </c>
      <c r="C7" t="n">
        <v>184.17</v>
      </c>
      <c r="D7" t="n">
        <v>1</v>
      </c>
      <c r="E7">
        <f>ROUND(C7/D7,4)</f>
        <v/>
      </c>
      <c r="F7" t="inlineStr">
        <is>
          <t>each</t>
        </is>
      </c>
    </row>
    <row r="8">
      <c r="A8" t="inlineStr">
        <is>
          <t>TOP-4830</t>
        </is>
      </c>
      <c r="B8" t="inlineStr">
        <is>
          <t>Maple butcher block top 48x30</t>
        </is>
      </c>
      <c r="C8" t="n">
        <v>135.24</v>
      </c>
      <c r="D8" t="n">
        <v>1</v>
      </c>
      <c r="E8">
        <f>ROUND(C8/D8,4)</f>
        <v/>
      </c>
      <c r="F8" t="inlineStr">
        <is>
          <t>each</t>
        </is>
      </c>
    </row>
    <row r="9">
      <c r="A9" t="inlineStr">
        <is>
          <t>SHF-4818</t>
        </is>
      </c>
      <c r="B9" t="inlineStr">
        <is>
          <t>Steel shelf panel 48x18</t>
        </is>
      </c>
      <c r="C9" t="n">
        <v>21.12</v>
      </c>
      <c r="D9" t="n">
        <v>1</v>
      </c>
      <c r="E9">
        <f>ROUND(C9/D9,4)</f>
        <v/>
      </c>
      <c r="F9" t="inlineStr">
        <is>
          <t>each</t>
        </is>
      </c>
    </row>
    <row r="10">
      <c r="A10" t="inlineStr">
        <is>
          <t>SHT-1624</t>
        </is>
      </c>
      <c r="B10" t="inlineStr">
        <is>
          <t>Sheet steel 16ga 24x48</t>
        </is>
      </c>
      <c r="C10" t="n">
        <v>30.81</v>
      </c>
      <c r="D10" t="n">
        <v>1</v>
      </c>
      <c r="E10">
        <f>ROUND(C10/D10,4)</f>
        <v/>
      </c>
      <c r="F10" t="inlineStr">
        <is>
          <t>each</t>
        </is>
      </c>
    </row>
    <row r="11">
      <c r="A11" t="inlineStr">
        <is>
          <t>BLT-M10</t>
        </is>
      </c>
      <c r="B11" t="inlineStr">
        <is>
          <t>Hex bolt M10x30 zinc</t>
        </is>
      </c>
      <c r="C11" t="n">
        <v>15.07</v>
      </c>
      <c r="D11" t="n">
        <v>100</v>
      </c>
      <c r="E11">
        <f>ROUND(C11/D11,4)</f>
        <v/>
      </c>
      <c r="F11" t="inlineStr">
        <is>
          <t>per 100</t>
        </is>
      </c>
    </row>
    <row r="12">
      <c r="A12" t="inlineStr">
        <is>
          <t>NUT-M10</t>
        </is>
      </c>
      <c r="B12" t="inlineStr">
        <is>
          <t>Nylock nut M10</t>
        </is>
      </c>
      <c r="C12" t="n">
        <v>0.11</v>
      </c>
      <c r="D12" t="n">
        <v>1</v>
      </c>
      <c r="E12">
        <f>ROUND(C12/D12,4)</f>
        <v/>
      </c>
      <c r="F12" t="inlineStr">
        <is>
          <t>each</t>
        </is>
      </c>
    </row>
    <row r="13">
      <c r="A13" t="inlineStr">
        <is>
          <t>SLD-18</t>
        </is>
      </c>
      <c r="B13" t="inlineStr">
        <is>
          <t>Drawer slide 18in full extension (pair)</t>
        </is>
      </c>
      <c r="C13" t="n">
        <v>17.52</v>
      </c>
      <c r="D13" t="n">
        <v>1</v>
      </c>
      <c r="E13">
        <f>ROUND(C13/D13,4)</f>
        <v/>
      </c>
      <c r="F13" t="inlineStr">
        <is>
          <t>each</t>
        </is>
      </c>
    </row>
    <row r="14">
      <c r="A14" t="inlineStr">
        <is>
          <t>SLD-18L</t>
        </is>
      </c>
      <c r="B14" t="inlineStr">
        <is>
          <t>Drawer slide 18in light duty (pair)</t>
        </is>
      </c>
      <c r="C14" t="n">
        <v>9.199999999999999</v>
      </c>
      <c r="D14" t="n">
        <v>1</v>
      </c>
      <c r="E14">
        <f>ROUND(C14/D14,4)</f>
        <v/>
      </c>
      <c r="F14" t="inlineStr">
        <is>
          <t>each</t>
        </is>
      </c>
    </row>
    <row r="15">
      <c r="A15" t="inlineStr">
        <is>
          <t>PUL-01</t>
        </is>
      </c>
      <c r="B15" t="inlineStr">
        <is>
          <t>Drawer pull 4in</t>
        </is>
      </c>
      <c r="C15" t="n">
        <v>4.56</v>
      </c>
      <c r="D15" t="n">
        <v>1</v>
      </c>
      <c r="E15">
        <f>ROUND(C15/D15,4)</f>
        <v/>
      </c>
      <c r="F15" t="inlineStr">
        <is>
          <t>each</t>
        </is>
      </c>
    </row>
    <row r="16">
      <c r="A16" t="inlineStr">
        <is>
          <t>CST-5</t>
        </is>
      </c>
      <c r="B16" t="inlineStr">
        <is>
          <t>Caster 5in swivel with brake</t>
        </is>
      </c>
      <c r="C16" t="n">
        <v>14.98</v>
      </c>
      <c r="D16" t="n">
        <v>1</v>
      </c>
      <c r="E16">
        <f>ROUND(C16/D16,4)</f>
        <v/>
      </c>
      <c r="F16" t="inlineStr">
        <is>
          <t>email 3 Sep (not on August list)</t>
        </is>
      </c>
    </row>
    <row r="17">
      <c r="A17" t="inlineStr">
        <is>
          <t>PEG-2448</t>
        </is>
      </c>
      <c r="B17" t="inlineStr">
        <is>
          <t>Pegboard panel 24x48</t>
        </is>
      </c>
      <c r="C17" t="n">
        <v>17.25</v>
      </c>
      <c r="D17" t="n">
        <v>1</v>
      </c>
      <c r="E17">
        <f>ROUND(C17/D17,4)</f>
        <v/>
      </c>
      <c r="F17" t="inlineStr">
        <is>
          <t>each</t>
        </is>
      </c>
    </row>
    <row r="18">
      <c r="A18" t="inlineStr">
        <is>
          <t>OUT-6</t>
        </is>
      </c>
      <c r="B18" t="inlineStr">
        <is>
          <t>Power strip 6-outlet 15A</t>
        </is>
      </c>
      <c r="C18" t="n">
        <v>30.37</v>
      </c>
      <c r="D18" t="n">
        <v>1</v>
      </c>
      <c r="E18">
        <f>ROUND(C18/D18,4)</f>
        <v/>
      </c>
      <c r="F18" t="inlineStr">
        <is>
          <t>each</t>
        </is>
      </c>
    </row>
    <row r="19">
      <c r="A19" t="inlineStr">
        <is>
          <t>HDL-12</t>
        </is>
      </c>
      <c r="B19" t="inlineStr">
        <is>
          <t>Push handle 12in</t>
        </is>
      </c>
      <c r="C19" t="n">
        <v>8.949999999999999</v>
      </c>
      <c r="D19" t="n">
        <v>1</v>
      </c>
      <c r="E19">
        <f>ROUND(C19/D19,4)</f>
        <v/>
      </c>
      <c r="F19" t="inlineStr">
        <is>
          <t>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