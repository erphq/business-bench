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Re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12" customWidth="1" min="2" max="2"/>
    <col width="12" customWidth="1" min="3" max="3"/>
  </cols>
  <sheetData>
    <row r="1">
      <c r="A1" s="1" t="inlineStr">
        <is>
          <t>site</t>
        </is>
      </c>
      <c r="B1" s="1" t="inlineStr">
        <is>
          <t>month</t>
        </is>
      </c>
      <c r="C1" s="1" t="inlineStr">
        <is>
          <t>kwh</t>
        </is>
      </c>
      <c r="D1" s="1" t="inlineStr">
        <is>
          <t>reported</t>
        </is>
      </c>
    </row>
    <row r="2">
      <c r="A2" t="inlineStr">
        <is>
          <t>Hawthorn Court</t>
        </is>
      </c>
      <c r="B2" t="inlineStr">
        <is>
          <t>2026-01</t>
        </is>
      </c>
      <c r="C2" t="n">
        <v>15765.8</v>
      </c>
      <c r="D2" t="n">
        <v>1</v>
      </c>
    </row>
    <row r="3">
      <c r="A3" t="inlineStr">
        <is>
          <t>Hawthorn Court</t>
        </is>
      </c>
      <c r="B3" t="inlineStr">
        <is>
          <t>2026-02</t>
        </is>
      </c>
      <c r="C3" t="n">
        <v>13244.9</v>
      </c>
      <c r="D3" t="n">
        <v>1</v>
      </c>
    </row>
    <row r="4">
      <c r="A4" t="inlineStr">
        <is>
          <t>Hawthorn Court</t>
        </is>
      </c>
      <c r="B4" t="inlineStr">
        <is>
          <t>2026-03</t>
        </is>
      </c>
      <c r="C4" t="n">
        <v>13190.6</v>
      </c>
      <c r="D4" t="n">
        <v>1</v>
      </c>
    </row>
    <row r="5">
      <c r="A5" t="inlineStr">
        <is>
          <t>Hawthorn Court</t>
        </is>
      </c>
      <c r="B5" t="inlineStr">
        <is>
          <t>2026-04</t>
        </is>
      </c>
      <c r="C5" t="n">
        <v>11651.5</v>
      </c>
      <c r="D5" t="n">
        <v>1</v>
      </c>
    </row>
    <row r="6">
      <c r="A6" t="inlineStr">
        <is>
          <t>Hawthorn Court</t>
        </is>
      </c>
      <c r="B6" t="inlineStr">
        <is>
          <t>2026-05</t>
        </is>
      </c>
      <c r="C6" t="n">
        <v>12239.5</v>
      </c>
      <c r="D6" t="n">
        <v>1</v>
      </c>
    </row>
    <row r="7">
      <c r="A7" t="inlineStr">
        <is>
          <t>Hawthorn Court</t>
        </is>
      </c>
      <c r="B7" t="inlineStr">
        <is>
          <t>2026-06</t>
        </is>
      </c>
      <c r="C7" t="n">
        <v>13464.2</v>
      </c>
      <c r="D7" t="n">
        <v>1</v>
      </c>
    </row>
    <row r="8">
      <c r="A8" t="inlineStr">
        <is>
          <t>Mill Street Lofts</t>
        </is>
      </c>
      <c r="B8" t="inlineStr">
        <is>
          <t>2026-01</t>
        </is>
      </c>
      <c r="C8" t="n">
        <v>11603.1</v>
      </c>
      <c r="D8" t="n">
        <v>1</v>
      </c>
    </row>
    <row r="9">
      <c r="A9" t="inlineStr">
        <is>
          <t>Mill Street Lofts</t>
        </is>
      </c>
      <c r="B9" t="inlineStr">
        <is>
          <t>2026-02</t>
        </is>
      </c>
      <c r="C9" t="n">
        <v>9801.9</v>
      </c>
      <c r="D9" t="n">
        <v>1</v>
      </c>
    </row>
    <row r="10">
      <c r="A10" t="inlineStr">
        <is>
          <t>Mill Street Lofts</t>
        </is>
      </c>
      <c r="B10" t="inlineStr">
        <is>
          <t>2026-03</t>
        </is>
      </c>
      <c r="C10" t="n">
        <v>9491.6</v>
      </c>
      <c r="D10" t="n">
        <v>1</v>
      </c>
    </row>
    <row r="11">
      <c r="A11" t="inlineStr">
        <is>
          <t>Mill Street Lofts</t>
        </is>
      </c>
      <c r="B11" t="inlineStr">
        <is>
          <t>2026-04</t>
        </is>
      </c>
      <c r="C11" t="n">
        <v>8508.5</v>
      </c>
      <c r="D11" t="n">
        <v>1</v>
      </c>
    </row>
    <row r="12">
      <c r="A12" t="inlineStr">
        <is>
          <t>Mill Street Lofts</t>
        </is>
      </c>
      <c r="B12" t="inlineStr">
        <is>
          <t>2026-05</t>
        </is>
      </c>
      <c r="C12" t="n">
        <v>9298.700000000001</v>
      </c>
      <c r="D12" t="n">
        <v>1</v>
      </c>
    </row>
    <row r="13">
      <c r="A13" t="inlineStr">
        <is>
          <t>Mill Street Lofts</t>
        </is>
      </c>
      <c r="B13" t="inlineStr">
        <is>
          <t>2026-06</t>
        </is>
      </c>
      <c r="C13" t="n">
        <v>10288.4</v>
      </c>
      <c r="D13" t="n">
        <v>1</v>
      </c>
    </row>
    <row r="14">
      <c r="A14" t="inlineStr">
        <is>
          <t>Union Square Retail</t>
        </is>
      </c>
      <c r="B14" t="inlineStr">
        <is>
          <t>2026-01</t>
        </is>
      </c>
      <c r="C14" t="n">
        <v>26435.5</v>
      </c>
      <c r="D14" t="n">
        <v>1</v>
      </c>
    </row>
    <row r="15">
      <c r="A15" t="inlineStr">
        <is>
          <t>Union Square Retail</t>
        </is>
      </c>
      <c r="B15" t="inlineStr">
        <is>
          <t>2026-02</t>
        </is>
      </c>
      <c r="C15" t="n">
        <v>22101.2</v>
      </c>
      <c r="D15" t="n">
        <v>1</v>
      </c>
    </row>
    <row r="16">
      <c r="A16" t="inlineStr">
        <is>
          <t>Union Square Retail</t>
        </is>
      </c>
      <c r="B16" t="inlineStr">
        <is>
          <t>2026-03</t>
        </is>
      </c>
      <c r="C16" t="n">
        <v>22485.3</v>
      </c>
      <c r="D16" t="n">
        <v>1</v>
      </c>
    </row>
    <row r="17">
      <c r="A17" t="inlineStr">
        <is>
          <t>Union Square Retail</t>
        </is>
      </c>
      <c r="B17" t="inlineStr">
        <is>
          <t>2026-04</t>
        </is>
      </c>
      <c r="C17" t="n">
        <v>18972.3</v>
      </c>
      <c r="D17" t="n">
        <v>1</v>
      </c>
    </row>
    <row r="18">
      <c r="A18" t="inlineStr">
        <is>
          <t>Union Square Retail</t>
        </is>
      </c>
      <c r="B18" t="inlineStr">
        <is>
          <t>2026-05</t>
        </is>
      </c>
      <c r="C18" t="n">
        <v>20656.3</v>
      </c>
      <c r="D18" t="n">
        <v>1</v>
      </c>
    </row>
    <row r="19">
      <c r="A19" t="inlineStr">
        <is>
          <t>Union Square Retail</t>
        </is>
      </c>
      <c r="B19" t="inlineStr">
        <is>
          <t>2026-06</t>
        </is>
      </c>
      <c r="C19" t="n">
        <v>22986.4</v>
      </c>
      <c r="D19" t="n">
        <v>1</v>
      </c>
    </row>
    <row r="20">
      <c r="A20" t="inlineStr">
        <is>
          <t>Riverside Business Park</t>
        </is>
      </c>
      <c r="B20" t="inlineStr">
        <is>
          <t>2026-01</t>
        </is>
      </c>
      <c r="C20" t="n">
        <v>28429.4</v>
      </c>
      <c r="D20" t="n">
        <v>1</v>
      </c>
    </row>
    <row r="21">
      <c r="A21" t="inlineStr">
        <is>
          <t>Riverside Business Park</t>
        </is>
      </c>
      <c r="B21" t="inlineStr">
        <is>
          <t>2026-02</t>
        </is>
      </c>
      <c r="C21" t="n">
        <v>24410.6</v>
      </c>
      <c r="D21" t="n">
        <v>1</v>
      </c>
    </row>
    <row r="22">
      <c r="A22" t="inlineStr">
        <is>
          <t>Riverside Business Park</t>
        </is>
      </c>
      <c r="B22" t="inlineStr">
        <is>
          <t>2026-03</t>
        </is>
      </c>
      <c r="C22" t="n">
        <v>23943.4</v>
      </c>
      <c r="D22" t="n">
        <v>1</v>
      </c>
    </row>
    <row r="23">
      <c r="A23" t="inlineStr">
        <is>
          <t>Riverside Business Park</t>
        </is>
      </c>
      <c r="B23" t="inlineStr">
        <is>
          <t>2026-04</t>
        </is>
      </c>
      <c r="C23" t="n">
        <v>21277.3</v>
      </c>
      <c r="D23" t="n">
        <v>1</v>
      </c>
    </row>
    <row r="24">
      <c r="A24" t="inlineStr">
        <is>
          <t>Riverside Business Park</t>
        </is>
      </c>
      <c r="B24" t="inlineStr">
        <is>
          <t>2026-05</t>
        </is>
      </c>
      <c r="C24" t="n">
        <v>22759</v>
      </c>
      <c r="D24" t="n">
        <v>1</v>
      </c>
    </row>
    <row r="25">
      <c r="A25" t="inlineStr">
        <is>
          <t>Riverside Business Park</t>
        </is>
      </c>
      <c r="B25" t="inlineStr">
        <is>
          <t>2026-06</t>
        </is>
      </c>
      <c r="C25" t="n">
        <v>25047.4</v>
      </c>
      <c r="D25" t="n">
        <v>1</v>
      </c>
    </row>
    <row r="26">
      <c r="A26" t="inlineStr">
        <is>
          <t>Depot Lane Storage</t>
        </is>
      </c>
      <c r="B26" t="inlineStr">
        <is>
          <t>2026-01</t>
        </is>
      </c>
      <c r="C26" t="n">
        <v>5644.5</v>
      </c>
      <c r="D26" t="n">
        <v>1</v>
      </c>
    </row>
    <row r="27">
      <c r="A27" t="inlineStr">
        <is>
          <t>Depot Lane Storage</t>
        </is>
      </c>
      <c r="B27" t="inlineStr">
        <is>
          <t>2026-02</t>
        </is>
      </c>
      <c r="C27" t="n">
        <v>4753.7</v>
      </c>
      <c r="D27" t="n">
        <v>1</v>
      </c>
    </row>
    <row r="28">
      <c r="A28" t="inlineStr">
        <is>
          <t>Depot Lane Storage</t>
        </is>
      </c>
      <c r="B28" t="inlineStr">
        <is>
          <t>2026-03</t>
        </is>
      </c>
      <c r="C28" t="n">
        <v>4622.6</v>
      </c>
      <c r="D28" t="n">
        <v>1</v>
      </c>
    </row>
    <row r="29">
      <c r="A29" t="inlineStr">
        <is>
          <t>Depot Lane Storage</t>
        </is>
      </c>
      <c r="B29" t="inlineStr">
        <is>
          <t>2026-04</t>
        </is>
      </c>
      <c r="C29" t="n">
        <v>4166.5</v>
      </c>
      <c r="D29" t="n">
        <v>1</v>
      </c>
    </row>
    <row r="30">
      <c r="A30" t="inlineStr">
        <is>
          <t>Depot Lane Storage</t>
        </is>
      </c>
      <c r="B30" t="inlineStr">
        <is>
          <t>2026-05</t>
        </is>
      </c>
      <c r="C30" t="n">
        <v>4385.6</v>
      </c>
      <c r="D30" t="n">
        <v>1</v>
      </c>
    </row>
    <row r="31">
      <c r="A31" t="inlineStr">
        <is>
          <t>Depot Lane Storage</t>
        </is>
      </c>
      <c r="B31" t="inlineStr">
        <is>
          <t>2026-06</t>
        </is>
      </c>
      <c r="C31" t="n">
        <v>0</v>
      </c>
      <c r="D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6" customWidth="1" min="1" max="1"/>
    <col width="13" customWidth="1" min="8" max="8"/>
  </cols>
  <sheetData>
    <row r="1">
      <c r="A1" s="1" t="inlineStr">
        <is>
          <t>Site</t>
        </is>
      </c>
      <c r="B1" s="1" t="inlineStr">
        <is>
          <t>2026-01</t>
        </is>
      </c>
      <c r="C1" s="1" t="inlineStr">
        <is>
          <t>2026-02</t>
        </is>
      </c>
      <c r="D1" s="1" t="inlineStr">
        <is>
          <t>2026-03</t>
        </is>
      </c>
      <c r="E1" s="1" t="inlineStr">
        <is>
          <t>2026-04</t>
        </is>
      </c>
      <c r="F1" s="1" t="inlineStr">
        <is>
          <t>2026-05</t>
        </is>
      </c>
      <c r="G1" s="1" t="inlineStr">
        <is>
          <t>2026-06</t>
        </is>
      </c>
      <c r="H1" s="1" t="inlineStr">
        <is>
          <t>Total kWh</t>
        </is>
      </c>
    </row>
    <row r="2">
      <c r="A2" t="inlineStr">
        <is>
          <t>Hawthorn Court</t>
        </is>
      </c>
      <c r="B2">
        <f>IF(SUMIFS(Data!$D$2:$D$31,Data!$A$2:$A$31,$A2,Data!$B$2:$B$31,B$1)=0,"no reading",ROUND(SUMIFS(Data!$C$2:$C$31,Data!$A$2:$A$31,$A2,Data!$B$2:$B$31,B$1),1))</f>
        <v/>
      </c>
      <c r="C2">
        <f>IF(SUMIFS(Data!$D$2:$D$31,Data!$A$2:$A$31,$A2,Data!$B$2:$B$31,C$1)=0,"no reading",ROUND(SUMIFS(Data!$C$2:$C$31,Data!$A$2:$A$31,$A2,Data!$B$2:$B$31,C$1),1))</f>
        <v/>
      </c>
      <c r="D2">
        <f>IF(SUMIFS(Data!$D$2:$D$31,Data!$A$2:$A$31,$A2,Data!$B$2:$B$31,D$1)=0,"no reading",ROUND(SUMIFS(Data!$C$2:$C$31,Data!$A$2:$A$31,$A2,Data!$B$2:$B$31,D$1),1))</f>
        <v/>
      </c>
      <c r="E2">
        <f>IF(SUMIFS(Data!$D$2:$D$31,Data!$A$2:$A$31,$A2,Data!$B$2:$B$31,E$1)=0,"no reading",ROUND(SUMIFS(Data!$C$2:$C$31,Data!$A$2:$A$31,$A2,Data!$B$2:$B$31,E$1),1))</f>
        <v/>
      </c>
      <c r="F2">
        <f>IF(SUMIFS(Data!$D$2:$D$31,Data!$A$2:$A$31,$A2,Data!$B$2:$B$31,F$1)=0,"no reading",ROUND(SUMIFS(Data!$C$2:$C$31,Data!$A$2:$A$31,$A2,Data!$B$2:$B$31,F$1),1))</f>
        <v/>
      </c>
      <c r="G2">
        <f>IF(SUMIFS(Data!$D$2:$D$31,Data!$A$2:$A$31,$A2,Data!$B$2:$B$31,G$1)=0,"no reading",ROUND(SUMIFS(Data!$C$2:$C$31,Data!$A$2:$A$31,$A2,Data!$B$2:$B$31,G$1),1))</f>
        <v/>
      </c>
      <c r="H2">
        <f>SUM(B2:G2)</f>
        <v/>
      </c>
    </row>
    <row r="3">
      <c r="A3" t="inlineStr">
        <is>
          <t>Mill Street Lofts</t>
        </is>
      </c>
      <c r="B3">
        <f>IF(SUMIFS(Data!$D$2:$D$31,Data!$A$2:$A$31,$A3,Data!$B$2:$B$31,B$1)=0,"no reading",ROUND(SUMIFS(Data!$C$2:$C$31,Data!$A$2:$A$31,$A3,Data!$B$2:$B$31,B$1),1))</f>
        <v/>
      </c>
      <c r="C3">
        <f>IF(SUMIFS(Data!$D$2:$D$31,Data!$A$2:$A$31,$A3,Data!$B$2:$B$31,C$1)=0,"no reading",ROUND(SUMIFS(Data!$C$2:$C$31,Data!$A$2:$A$31,$A3,Data!$B$2:$B$31,C$1),1))</f>
        <v/>
      </c>
      <c r="D3">
        <f>IF(SUMIFS(Data!$D$2:$D$31,Data!$A$2:$A$31,$A3,Data!$B$2:$B$31,D$1)=0,"no reading",ROUND(SUMIFS(Data!$C$2:$C$31,Data!$A$2:$A$31,$A3,Data!$B$2:$B$31,D$1),1))</f>
        <v/>
      </c>
      <c r="E3">
        <f>IF(SUMIFS(Data!$D$2:$D$31,Data!$A$2:$A$31,$A3,Data!$B$2:$B$31,E$1)=0,"no reading",ROUND(SUMIFS(Data!$C$2:$C$31,Data!$A$2:$A$31,$A3,Data!$B$2:$B$31,E$1),1))</f>
        <v/>
      </c>
      <c r="F3">
        <f>IF(SUMIFS(Data!$D$2:$D$31,Data!$A$2:$A$31,$A3,Data!$B$2:$B$31,F$1)=0,"no reading",ROUND(SUMIFS(Data!$C$2:$C$31,Data!$A$2:$A$31,$A3,Data!$B$2:$B$31,F$1),1))</f>
        <v/>
      </c>
      <c r="G3">
        <f>IF(SUMIFS(Data!$D$2:$D$31,Data!$A$2:$A$31,$A3,Data!$B$2:$B$31,G$1)=0,"no reading",ROUND(SUMIFS(Data!$C$2:$C$31,Data!$A$2:$A$31,$A3,Data!$B$2:$B$31,G$1),1))</f>
        <v/>
      </c>
      <c r="H3">
        <f>SUM(B3:G3)</f>
        <v/>
      </c>
    </row>
    <row r="4">
      <c r="A4" t="inlineStr">
        <is>
          <t>Union Square Retail</t>
        </is>
      </c>
      <c r="B4">
        <f>IF(SUMIFS(Data!$D$2:$D$31,Data!$A$2:$A$31,$A4,Data!$B$2:$B$31,B$1)=0,"no reading",ROUND(SUMIFS(Data!$C$2:$C$31,Data!$A$2:$A$31,$A4,Data!$B$2:$B$31,B$1),1))</f>
        <v/>
      </c>
      <c r="C4">
        <f>IF(SUMIFS(Data!$D$2:$D$31,Data!$A$2:$A$31,$A4,Data!$B$2:$B$31,C$1)=0,"no reading",ROUND(SUMIFS(Data!$C$2:$C$31,Data!$A$2:$A$31,$A4,Data!$B$2:$B$31,C$1),1))</f>
        <v/>
      </c>
      <c r="D4">
        <f>IF(SUMIFS(Data!$D$2:$D$31,Data!$A$2:$A$31,$A4,Data!$B$2:$B$31,D$1)=0,"no reading",ROUND(SUMIFS(Data!$C$2:$C$31,Data!$A$2:$A$31,$A4,Data!$B$2:$B$31,D$1),1))</f>
        <v/>
      </c>
      <c r="E4">
        <f>IF(SUMIFS(Data!$D$2:$D$31,Data!$A$2:$A$31,$A4,Data!$B$2:$B$31,E$1)=0,"no reading",ROUND(SUMIFS(Data!$C$2:$C$31,Data!$A$2:$A$31,$A4,Data!$B$2:$B$31,E$1),1))</f>
        <v/>
      </c>
      <c r="F4">
        <f>IF(SUMIFS(Data!$D$2:$D$31,Data!$A$2:$A$31,$A4,Data!$B$2:$B$31,F$1)=0,"no reading",ROUND(SUMIFS(Data!$C$2:$C$31,Data!$A$2:$A$31,$A4,Data!$B$2:$B$31,F$1),1))</f>
        <v/>
      </c>
      <c r="G4">
        <f>IF(SUMIFS(Data!$D$2:$D$31,Data!$A$2:$A$31,$A4,Data!$B$2:$B$31,G$1)=0,"no reading",ROUND(SUMIFS(Data!$C$2:$C$31,Data!$A$2:$A$31,$A4,Data!$B$2:$B$31,G$1),1))</f>
        <v/>
      </c>
      <c r="H4">
        <f>SUM(B4:G4)</f>
        <v/>
      </c>
    </row>
    <row r="5">
      <c r="A5" t="inlineStr">
        <is>
          <t>Riverside Business Park</t>
        </is>
      </c>
      <c r="B5">
        <f>IF(SUMIFS(Data!$D$2:$D$31,Data!$A$2:$A$31,$A5,Data!$B$2:$B$31,B$1)=0,"no reading",ROUND(SUMIFS(Data!$C$2:$C$31,Data!$A$2:$A$31,$A5,Data!$B$2:$B$31,B$1),1))</f>
        <v/>
      </c>
      <c r="C5">
        <f>IF(SUMIFS(Data!$D$2:$D$31,Data!$A$2:$A$31,$A5,Data!$B$2:$B$31,C$1)=0,"no reading",ROUND(SUMIFS(Data!$C$2:$C$31,Data!$A$2:$A$31,$A5,Data!$B$2:$B$31,C$1),1))</f>
        <v/>
      </c>
      <c r="D5">
        <f>IF(SUMIFS(Data!$D$2:$D$31,Data!$A$2:$A$31,$A5,Data!$B$2:$B$31,D$1)=0,"no reading",ROUND(SUMIFS(Data!$C$2:$C$31,Data!$A$2:$A$31,$A5,Data!$B$2:$B$31,D$1),1))</f>
        <v/>
      </c>
      <c r="E5">
        <f>IF(SUMIFS(Data!$D$2:$D$31,Data!$A$2:$A$31,$A5,Data!$B$2:$B$31,E$1)=0,"no reading",ROUND(SUMIFS(Data!$C$2:$C$31,Data!$A$2:$A$31,$A5,Data!$B$2:$B$31,E$1),1))</f>
        <v/>
      </c>
      <c r="F5">
        <f>IF(SUMIFS(Data!$D$2:$D$31,Data!$A$2:$A$31,$A5,Data!$B$2:$B$31,F$1)=0,"no reading",ROUND(SUMIFS(Data!$C$2:$C$31,Data!$A$2:$A$31,$A5,Data!$B$2:$B$31,F$1),1))</f>
        <v/>
      </c>
      <c r="G5">
        <f>IF(SUMIFS(Data!$D$2:$D$31,Data!$A$2:$A$31,$A5,Data!$B$2:$B$31,G$1)=0,"no reading",ROUND(SUMIFS(Data!$C$2:$C$31,Data!$A$2:$A$31,$A5,Data!$B$2:$B$31,G$1),1))</f>
        <v/>
      </c>
      <c r="H5">
        <f>SUM(B5:G5)</f>
        <v/>
      </c>
    </row>
    <row r="6">
      <c r="A6" t="inlineStr">
        <is>
          <t>Depot Lane Storage</t>
        </is>
      </c>
      <c r="B6">
        <f>IF(SUMIFS(Data!$D$2:$D$31,Data!$A$2:$A$31,$A6,Data!$B$2:$B$31,B$1)=0,"no reading",ROUND(SUMIFS(Data!$C$2:$C$31,Data!$A$2:$A$31,$A6,Data!$B$2:$B$31,B$1),1))</f>
        <v/>
      </c>
      <c r="C6">
        <f>IF(SUMIFS(Data!$D$2:$D$31,Data!$A$2:$A$31,$A6,Data!$B$2:$B$31,C$1)=0,"no reading",ROUND(SUMIFS(Data!$C$2:$C$31,Data!$A$2:$A$31,$A6,Data!$B$2:$B$31,C$1),1))</f>
        <v/>
      </c>
      <c r="D6">
        <f>IF(SUMIFS(Data!$D$2:$D$31,Data!$A$2:$A$31,$A6,Data!$B$2:$B$31,D$1)=0,"no reading",ROUND(SUMIFS(Data!$C$2:$C$31,Data!$A$2:$A$31,$A6,Data!$B$2:$B$31,D$1),1))</f>
        <v/>
      </c>
      <c r="E6">
        <f>IF(SUMIFS(Data!$D$2:$D$31,Data!$A$2:$A$31,$A6,Data!$B$2:$B$31,E$1)=0,"no reading",ROUND(SUMIFS(Data!$C$2:$C$31,Data!$A$2:$A$31,$A6,Data!$B$2:$B$31,E$1),1))</f>
        <v/>
      </c>
      <c r="F6">
        <f>IF(SUMIFS(Data!$D$2:$D$31,Data!$A$2:$A$31,$A6,Data!$B$2:$B$31,F$1)=0,"no reading",ROUND(SUMIFS(Data!$C$2:$C$31,Data!$A$2:$A$31,$A6,Data!$B$2:$B$31,F$1),1))</f>
        <v/>
      </c>
      <c r="G6">
        <f>IF(SUMIFS(Data!$D$2:$D$31,Data!$A$2:$A$31,$A6,Data!$B$2:$B$31,G$1)=0,"no reading",ROUND(SUMIFS(Data!$C$2:$C$31,Data!$A$2:$A$31,$A6,Data!$B$2:$B$31,G$1),1))</f>
        <v/>
      </c>
      <c r="H6">
        <f>SUM(B6:G6)</f>
        <v/>
      </c>
    </row>
    <row r="7">
      <c r="A7" t="inlineStr">
        <is>
          <t>Total - all sites</t>
        </is>
      </c>
      <c r="B7">
        <f>SUM(B2:B6)</f>
        <v/>
      </c>
      <c r="C7">
        <f>SUM(C2:C6)</f>
        <v/>
      </c>
      <c r="D7">
        <f>SUM(D2:D6)</f>
        <v/>
      </c>
      <c r="E7">
        <f>SUM(E2:E6)</f>
        <v/>
      </c>
      <c r="F7">
        <f>SUM(F2:F6)</f>
        <v/>
      </c>
      <c r="G7">
        <f>SUM(G2:G6)</f>
        <v/>
      </c>
      <c r="H7">
        <f>SUM(H2:H6)</f>
        <v/>
      </c>
    </row>
    <row r="9">
      <c r="A9" t="inlineStr">
        <is>
          <t>Depot Lane Storage has no meter read after 31 May 2026, so June cannot be calculated and is shown as no reading rather than estimated. Usage between two reads is spread evenly over the days between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reference</dc:creator>
  <dcterms:created xsi:type="dcterms:W3CDTF">2026-01-15T09:00:00Z</dcterms:created>
  <dcterms:modified xsi:type="dcterms:W3CDTF">2026-01-15T09:00:00Z</dcterms:modified>
  <cp:lastModifiedBy>reference</cp:lastModifiedBy>
</cp:coreProperties>
</file>