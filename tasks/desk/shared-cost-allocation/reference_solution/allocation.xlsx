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  <sheet name="B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Account</t>
        </is>
      </c>
      <c r="B1" s="1" t="inlineStr">
        <is>
          <t>Basis</t>
        </is>
      </c>
      <c r="C1" s="1" t="inlineStr">
        <is>
          <t>Shared cost</t>
        </is>
      </c>
      <c r="D1" s="1" t="inlineStr">
        <is>
          <t>Mill Shop</t>
        </is>
      </c>
      <c r="E1" s="1" t="inlineStr">
        <is>
          <t>Finishing</t>
        </is>
      </c>
      <c r="F1" s="1" t="inlineStr">
        <is>
          <t>Install</t>
        </is>
      </c>
      <c r="G1" s="1" t="inlineStr">
        <is>
          <t>Showroom</t>
        </is>
      </c>
      <c r="H1" s="1" t="inlineStr">
        <is>
          <t>Admin</t>
        </is>
      </c>
      <c r="I1" s="1" t="inlineStr">
        <is>
          <t>Unallocated</t>
        </is>
      </c>
    </row>
    <row r="2">
      <c r="A2" t="inlineStr">
        <is>
          <t>6100 Rent</t>
        </is>
      </c>
      <c r="B2" t="inlineStr">
        <is>
          <t>Square feet</t>
        </is>
      </c>
      <c r="C2" s="2" t="n">
        <v>13900</v>
      </c>
      <c r="D2">
        <f>C2-(E2+F2+G2+H2)</f>
        <v/>
      </c>
      <c r="E2">
        <f>ROUND(C2*Bases!$C$3/Bases!$C$7,2)</f>
        <v/>
      </c>
      <c r="F2">
        <f>ROUND(C2*Bases!$C$4/Bases!$C$7,2)</f>
        <v/>
      </c>
      <c r="G2">
        <f>ROUND(C2*Bases!$C$5/Bases!$C$7,2)</f>
        <v/>
      </c>
      <c r="H2">
        <f>ROUND(C2*Bases!$C$6/Bases!$C$7,2)</f>
        <v/>
      </c>
      <c r="I2">
        <f>C2-SUM(D2:H2)</f>
        <v/>
      </c>
    </row>
    <row r="3">
      <c r="A3" t="inlineStr">
        <is>
          <t>6120 Property insurance</t>
        </is>
      </c>
      <c r="B3" t="inlineStr">
        <is>
          <t>Square feet</t>
        </is>
      </c>
      <c r="C3" s="2" t="n">
        <v>1124.48</v>
      </c>
      <c r="D3">
        <f>C3-(E3+F3+G3+H3)</f>
        <v/>
      </c>
      <c r="E3">
        <f>ROUND(C3*Bases!$C$3/Bases!$C$7,2)</f>
        <v/>
      </c>
      <c r="F3">
        <f>ROUND(C3*Bases!$C$4/Bases!$C$7,2)</f>
        <v/>
      </c>
      <c r="G3">
        <f>ROUND(C3*Bases!$C$5/Bases!$C$7,2)</f>
        <v/>
      </c>
      <c r="H3">
        <f>ROUND(C3*Bases!$C$6/Bases!$C$7,2)</f>
        <v/>
      </c>
      <c r="I3">
        <f>C3-SUM(D3:H3)</f>
        <v/>
      </c>
    </row>
    <row r="4">
      <c r="A4" t="inlineStr">
        <is>
          <t>6210 Electric</t>
        </is>
      </c>
      <c r="B4" t="inlineStr">
        <is>
          <t>Square feet</t>
        </is>
      </c>
      <c r="C4" s="2" t="n">
        <v>3169.38</v>
      </c>
      <c r="D4">
        <f>C4-(E4+F4+G4+H4)</f>
        <v/>
      </c>
      <c r="E4">
        <f>ROUND(C4*Bases!$C$3/Bases!$C$7,2)</f>
        <v/>
      </c>
      <c r="F4">
        <f>ROUND(C4*Bases!$C$4/Bases!$C$7,2)</f>
        <v/>
      </c>
      <c r="G4">
        <f>ROUND(C4*Bases!$C$5/Bases!$C$7,2)</f>
        <v/>
      </c>
      <c r="H4">
        <f>ROUND(C4*Bases!$C$6/Bases!$C$7,2)</f>
        <v/>
      </c>
      <c r="I4">
        <f>C4-SUM(D4:H4)</f>
        <v/>
      </c>
    </row>
    <row r="5">
      <c r="A5" t="inlineStr">
        <is>
          <t>6220 Gas</t>
        </is>
      </c>
      <c r="B5" t="inlineStr">
        <is>
          <t>Square feet</t>
        </is>
      </c>
      <c r="C5" s="2" t="n">
        <v>608.61</v>
      </c>
      <c r="D5">
        <f>C5-(E5+F5+G5+H5)</f>
        <v/>
      </c>
      <c r="E5">
        <f>ROUND(C5*Bases!$C$3/Bases!$C$7,2)</f>
        <v/>
      </c>
      <c r="F5">
        <f>ROUND(C5*Bases!$C$4/Bases!$C$7,2)</f>
        <v/>
      </c>
      <c r="G5">
        <f>ROUND(C5*Bases!$C$5/Bases!$C$7,2)</f>
        <v/>
      </c>
      <c r="H5">
        <f>ROUND(C5*Bases!$C$6/Bases!$C$7,2)</f>
        <v/>
      </c>
      <c r="I5">
        <f>C5-SUM(D5:H5)</f>
        <v/>
      </c>
    </row>
    <row r="6">
      <c r="A6" t="inlineStr">
        <is>
          <t>6230 Water &amp; sewer</t>
        </is>
      </c>
      <c r="B6" t="inlineStr">
        <is>
          <t>Square feet</t>
        </is>
      </c>
      <c r="C6" s="2" t="n">
        <v>304.02</v>
      </c>
      <c r="D6">
        <f>C6-(E6+F6+G6+H6)</f>
        <v/>
      </c>
      <c r="E6">
        <f>ROUND(C6*Bases!$C$3/Bases!$C$7,2)</f>
        <v/>
      </c>
      <c r="F6">
        <f>ROUND(C6*Bases!$C$4/Bases!$C$7,2)</f>
        <v/>
      </c>
      <c r="G6">
        <f>ROUND(C6*Bases!$C$5/Bases!$C$7,2)</f>
        <v/>
      </c>
      <c r="H6">
        <f>ROUND(C6*Bases!$C$6/Bases!$C$7,2)</f>
        <v/>
      </c>
      <c r="I6">
        <f>C6-SUM(D6:H6)</f>
        <v/>
      </c>
    </row>
    <row r="7">
      <c r="A7" t="inlineStr">
        <is>
          <t>6300 Janitorial</t>
        </is>
      </c>
      <c r="B7" t="inlineStr">
        <is>
          <t>Square feet</t>
        </is>
      </c>
      <c r="C7" s="2" t="n">
        <v>1308.74</v>
      </c>
      <c r="D7">
        <f>C7-(E7+F7+G7+H7)</f>
        <v/>
      </c>
      <c r="E7">
        <f>ROUND(C7*Bases!$C$3/Bases!$C$7,2)</f>
        <v/>
      </c>
      <c r="F7">
        <f>ROUND(C7*Bases!$C$4/Bases!$C$7,2)</f>
        <v/>
      </c>
      <c r="G7">
        <f>ROUND(C7*Bases!$C$5/Bases!$C$7,2)</f>
        <v/>
      </c>
      <c r="H7">
        <f>ROUND(C7*Bases!$C$6/Bases!$C$7,2)</f>
        <v/>
      </c>
      <c r="I7">
        <f>C7-SUM(D7:H7)</f>
        <v/>
      </c>
    </row>
    <row r="8">
      <c r="A8" t="inlineStr">
        <is>
          <t>6310 Building repairs</t>
        </is>
      </c>
      <c r="B8" t="inlineStr">
        <is>
          <t>Square feet</t>
        </is>
      </c>
      <c r="C8" s="2" t="n">
        <v>1344.83</v>
      </c>
      <c r="D8">
        <f>C8-(E8+F8+G8+H8)</f>
        <v/>
      </c>
      <c r="E8">
        <f>ROUND(C8*Bases!$C$3/Bases!$C$7,2)</f>
        <v/>
      </c>
      <c r="F8">
        <f>ROUND(C8*Bases!$C$4/Bases!$C$7,2)</f>
        <v/>
      </c>
      <c r="G8">
        <f>ROUND(C8*Bases!$C$5/Bases!$C$7,2)</f>
        <v/>
      </c>
      <c r="H8">
        <f>ROUND(C8*Bases!$C$6/Bases!$C$7,2)</f>
        <v/>
      </c>
      <c r="I8">
        <f>C8-SUM(D8:H8)</f>
        <v/>
      </c>
    </row>
    <row r="9">
      <c r="A9" t="inlineStr">
        <is>
          <t>6400 IT support</t>
        </is>
      </c>
      <c r="B9" t="inlineStr">
        <is>
          <t>Headcount</t>
        </is>
      </c>
      <c r="C9" s="2" t="n">
        <v>1214.99</v>
      </c>
      <c r="D9">
        <f>ROUND(C9*Bases!$B$2/Bases!$B$7,2)</f>
        <v/>
      </c>
      <c r="E9">
        <f>ROUND(C9*Bases!$B$3/Bases!$B$7,2)</f>
        <v/>
      </c>
      <c r="F9">
        <f>C9-(D9+E9+G9+H9)</f>
        <v/>
      </c>
      <c r="G9">
        <f>ROUND(C9*Bases!$B$5/Bases!$B$7,2)</f>
        <v/>
      </c>
      <c r="H9">
        <f>ROUND(C9*Bases!$B$6/Bases!$B$7,2)</f>
        <v/>
      </c>
      <c r="I9">
        <f>C9-SUM(D9:H9)</f>
        <v/>
      </c>
    </row>
    <row r="10">
      <c r="A10" t="inlineStr">
        <is>
          <t>6410 Software subscriptions</t>
        </is>
      </c>
      <c r="B10" t="inlineStr">
        <is>
          <t>Headcount</t>
        </is>
      </c>
      <c r="C10" s="2" t="n">
        <v>730.67</v>
      </c>
      <c r="D10">
        <f>ROUND(C10*Bases!$B$2/Bases!$B$7,2)</f>
        <v/>
      </c>
      <c r="E10">
        <f>ROUND(C10*Bases!$B$3/Bases!$B$7,2)</f>
        <v/>
      </c>
      <c r="F10">
        <f>C10-(D10+E10+G10+H10)</f>
        <v/>
      </c>
      <c r="G10">
        <f>ROUND(C10*Bases!$B$5/Bases!$B$7,2)</f>
        <v/>
      </c>
      <c r="H10">
        <f>ROUND(C10*Bases!$B$6/Bases!$B$7,2)</f>
        <v/>
      </c>
      <c r="I10">
        <f>C10-SUM(D10:H10)</f>
        <v/>
      </c>
    </row>
    <row r="11">
      <c r="A11" t="inlineStr">
        <is>
          <t>6500 Payroll service</t>
        </is>
      </c>
      <c r="B11" t="inlineStr">
        <is>
          <t>Headcount</t>
        </is>
      </c>
      <c r="C11" s="2" t="n">
        <v>270.14</v>
      </c>
      <c r="D11">
        <f>ROUND(C11*Bases!$B$2/Bases!$B$7,2)</f>
        <v/>
      </c>
      <c r="E11">
        <f>ROUND(C11*Bases!$B$3/Bases!$B$7,2)</f>
        <v/>
      </c>
      <c r="F11">
        <f>C11-(D11+E11+G11+H11)</f>
        <v/>
      </c>
      <c r="G11">
        <f>ROUND(C11*Bases!$B$5/Bases!$B$7,2)</f>
        <v/>
      </c>
      <c r="H11">
        <f>ROUND(C11*Bases!$B$6/Bases!$B$7,2)</f>
        <v/>
      </c>
      <c r="I11">
        <f>C11-SUM(D11:H11)</f>
        <v/>
      </c>
    </row>
    <row r="12">
      <c r="A12" t="inlineStr">
        <is>
          <t>6510 HR &amp; benefits platform</t>
        </is>
      </c>
      <c r="B12" t="inlineStr">
        <is>
          <t>Headcount</t>
        </is>
      </c>
      <c r="C12" s="2" t="n">
        <v>394.5</v>
      </c>
      <c r="D12">
        <f>ROUND(C12*Bases!$B$2/Bases!$B$7,2)</f>
        <v/>
      </c>
      <c r="E12">
        <f>ROUND(C12*Bases!$B$3/Bases!$B$7,2)</f>
        <v/>
      </c>
      <c r="F12">
        <f>C12-(D12+E12+G12+H12)</f>
        <v/>
      </c>
      <c r="G12">
        <f>ROUND(C12*Bases!$B$5/Bases!$B$7,2)</f>
        <v/>
      </c>
      <c r="H12">
        <f>ROUND(C12*Bases!$B$6/Bases!$B$7,2)</f>
        <v/>
      </c>
      <c r="I12">
        <f>C12-SUM(D12:H12)</f>
        <v/>
      </c>
    </row>
    <row r="13">
      <c r="A13" t="inlineStr">
        <is>
          <t>6600 Phones &amp; internet</t>
        </is>
      </c>
      <c r="B13" t="inlineStr">
        <is>
          <t>Headcount</t>
        </is>
      </c>
      <c r="C13" s="2" t="n">
        <v>642.34</v>
      </c>
      <c r="D13">
        <f>ROUND(C13*Bases!$B$2/Bases!$B$7,2)</f>
        <v/>
      </c>
      <c r="E13">
        <f>ROUND(C13*Bases!$B$3/Bases!$B$7,2)</f>
        <v/>
      </c>
      <c r="F13">
        <f>C13-(D13+E13+G13+H13)</f>
        <v/>
      </c>
      <c r="G13">
        <f>ROUND(C13*Bases!$B$5/Bases!$B$7,2)</f>
        <v/>
      </c>
      <c r="H13">
        <f>ROUND(C13*Bases!$B$6/Bases!$B$7,2)</f>
        <v/>
      </c>
      <c r="I13">
        <f>C13-SUM(D13:H13)</f>
        <v/>
      </c>
    </row>
    <row r="14">
      <c r="A14" t="inlineStr">
        <is>
          <t>6700 Office supplies</t>
        </is>
      </c>
      <c r="B14" t="inlineStr">
        <is>
          <t>Headcount</t>
        </is>
      </c>
      <c r="C14" s="2" t="n">
        <v>300.17</v>
      </c>
      <c r="D14">
        <f>ROUND(C14*Bases!$B$2/Bases!$B$7,2)</f>
        <v/>
      </c>
      <c r="E14">
        <f>ROUND(C14*Bases!$B$3/Bases!$B$7,2)</f>
        <v/>
      </c>
      <c r="F14">
        <f>C14-(D14+E14+G14+H14)</f>
        <v/>
      </c>
      <c r="G14">
        <f>ROUND(C14*Bases!$B$5/Bases!$B$7,2)</f>
        <v/>
      </c>
      <c r="H14">
        <f>ROUND(C14*Bases!$B$6/Bases!$B$7,2)</f>
        <v/>
      </c>
      <c r="I14">
        <f>C14-SUM(D14:H14)</f>
        <v/>
      </c>
    </row>
    <row r="15">
      <c r="A15" t="inlineStr">
        <is>
          <t>Total</t>
        </is>
      </c>
      <c r="C15">
        <f>SUM(C2:C14)</f>
        <v/>
      </c>
      <c r="D15">
        <f>SUM(D2:D14)</f>
        <v/>
      </c>
      <c r="E15">
        <f>SUM(E2:E14)</f>
        <v/>
      </c>
      <c r="F15">
        <f>SUM(F2:F14)</f>
        <v/>
      </c>
      <c r="G15">
        <f>SUM(G2:G14)</f>
        <v/>
      </c>
      <c r="H15">
        <f>SUM(H2:H14)</f>
        <v/>
      </c>
      <c r="I15">
        <f>SUM(I2:I14)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</cols>
  <sheetData>
    <row r="1">
      <c r="A1" s="1" t="inlineStr">
        <is>
          <t>Department</t>
        </is>
      </c>
      <c r="B1" s="1" t="inlineStr">
        <is>
          <t>Headcount at 2026-08-31</t>
        </is>
      </c>
      <c r="C1" s="1" t="inlineStr">
        <is>
          <t>Square feet</t>
        </is>
      </c>
    </row>
    <row r="2">
      <c r="A2" t="inlineStr">
        <is>
          <t>Mill Shop</t>
        </is>
      </c>
      <c r="B2" t="n">
        <v>8.5</v>
      </c>
      <c r="C2" t="n">
        <v>7600</v>
      </c>
    </row>
    <row r="3">
      <c r="A3" t="inlineStr">
        <is>
          <t>Finishing</t>
        </is>
      </c>
      <c r="B3" t="n">
        <v>5</v>
      </c>
      <c r="C3" t="n">
        <v>2700</v>
      </c>
    </row>
    <row r="4">
      <c r="A4" t="inlineStr">
        <is>
          <t>Install</t>
        </is>
      </c>
      <c r="B4" t="n">
        <v>9</v>
      </c>
      <c r="C4" t="n">
        <v>2200</v>
      </c>
    </row>
    <row r="5">
      <c r="A5" t="inlineStr">
        <is>
          <t>Showroom</t>
        </is>
      </c>
      <c r="B5" t="n">
        <v>3</v>
      </c>
      <c r="C5" t="n">
        <v>1600</v>
      </c>
    </row>
    <row r="6">
      <c r="A6" t="inlineStr">
        <is>
          <t>Admin</t>
        </is>
      </c>
      <c r="B6" t="n">
        <v>3.5</v>
      </c>
      <c r="C6" t="n">
        <v>900</v>
      </c>
    </row>
    <row r="7">
      <c r="A7" t="inlineStr">
        <is>
          <t>Total</t>
        </is>
      </c>
      <c r="B7">
        <f>SUM(B2:B6)</f>
        <v/>
      </c>
      <c r="C7">
        <f>SUM(C2:C6)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Hollow Creek</dc:creator>
  <dcterms:created xsi:type="dcterms:W3CDTF">2026-01-15T09:00:00Z</dcterms:created>
  <dcterms:modified xsi:type="dcterms:W3CDTF">2026-01-15T09:00:00Z</dcterms:modified>
  <cp:lastModifiedBy>Hollow Creek</cp:lastModifiedBy>
</cp:coreProperties>
</file>