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 by line" sheetId="1" state="visible" r:id="rId1"/>
    <sheet name="B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Line</t>
        </is>
      </c>
      <c r="B1" s="1" t="inlineStr">
        <is>
          <t>Input (kg)</t>
        </is>
      </c>
      <c r="C1" s="1" t="inlineStr">
        <is>
          <t>Good output (kg)</t>
        </is>
      </c>
      <c r="D1" s="1" t="inlineStr">
        <is>
          <t>Scrap (kg)</t>
        </is>
      </c>
      <c r="E1" s="1" t="inlineStr">
        <is>
          <t>Yield</t>
        </is>
      </c>
      <c r="F1" s="1" t="inlineStr">
        <is>
          <t>Scrap rate</t>
        </is>
      </c>
    </row>
    <row r="2">
      <c r="A2" t="inlineStr">
        <is>
          <t>Bar line</t>
        </is>
      </c>
      <c r="B2">
        <f>ROUND(SUMIFS(Batches!$J$2:$J$105,Batches!$C$2:$C$105,$A2),2)</f>
        <v/>
      </c>
      <c r="C2">
        <f>ROUND(SUMIFS(Batches!$K$2:$K$105,Batches!$C$2:$C$105,$A2),2)</f>
        <v/>
      </c>
      <c r="D2">
        <f>ROUND(SUMIFS(Batches!$L$2:$L$105,Batches!$C$2:$C$105,$A2),2)</f>
        <v/>
      </c>
      <c r="E2">
        <f>IF(B2=0,0,ROUND(C2/B2,4))</f>
        <v/>
      </c>
      <c r="F2">
        <f>IF(B2=0,0,ROUND(D2/B2,4))</f>
        <v/>
      </c>
    </row>
    <row r="3">
      <c r="A3" t="inlineStr">
        <is>
          <t>Granola line</t>
        </is>
      </c>
      <c r="B3">
        <f>ROUND(SUMIFS(Batches!$J$2:$J$105,Batches!$C$2:$C$105,$A3),2)</f>
        <v/>
      </c>
      <c r="C3">
        <f>ROUND(SUMIFS(Batches!$K$2:$K$105,Batches!$C$2:$C$105,$A3),2)</f>
        <v/>
      </c>
      <c r="D3">
        <f>ROUND(SUMIFS(Batches!$L$2:$L$105,Batches!$C$2:$C$105,$A3),2)</f>
        <v/>
      </c>
      <c r="E3">
        <f>IF(B3=0,0,ROUND(C3/B3,4))</f>
        <v/>
      </c>
      <c r="F3">
        <f>IF(B3=0,0,ROUND(D3/B3,4))</f>
        <v/>
      </c>
    </row>
    <row r="4">
      <c r="A4" t="inlineStr">
        <is>
          <t>Bites line</t>
        </is>
      </c>
      <c r="B4">
        <f>ROUND(SUMIFS(Batches!$J$2:$J$105,Batches!$C$2:$C$105,$A4),2)</f>
        <v/>
      </c>
      <c r="C4">
        <f>ROUND(SUMIFS(Batches!$K$2:$K$105,Batches!$C$2:$C$105,$A4),2)</f>
        <v/>
      </c>
      <c r="D4">
        <f>ROUND(SUMIFS(Batches!$L$2:$L$105,Batches!$C$2:$C$105,$A4),2)</f>
        <v/>
      </c>
      <c r="E4">
        <f>IF(B4=0,0,ROUND(C4/B4,4))</f>
        <v/>
      </c>
      <c r="F4">
        <f>IF(B4=0,0,ROUND(D4/B4,4))</f>
        <v/>
      </c>
    </row>
    <row r="5">
      <c r="A5" t="inlineStr">
        <is>
          <t>Plant total</t>
        </is>
      </c>
      <c r="B5">
        <f>SUM(B2:B4)</f>
        <v/>
      </c>
      <c r="C5">
        <f>SUM(C2:C4)</f>
        <v/>
      </c>
      <c r="D5">
        <f>SUM(D2:D4)</f>
        <v/>
      </c>
      <c r="E5">
        <f>IF(B5=0,0,ROUND(C5/B5,4))</f>
        <v/>
      </c>
      <c r="F5">
        <f>IF(B5=0,0,ROUND(D5/B5,4))</f>
        <v/>
      </c>
    </row>
    <row r="7">
      <c r="A7" t="inlineStr">
        <is>
          <t>By weight. Cases = units per case x unit weight, bags = net weight, grams / 1000. Rework batches add no input; their good output counts and their input comes off scrap. Trial batches excluded.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14" customWidth="1" min="4" max="4"/>
  </cols>
  <sheetData>
    <row r="1">
      <c r="A1" s="1" t="inlineStr">
        <is>
          <t>batch</t>
        </is>
      </c>
      <c r="B1" s="1" t="inlineStr">
        <is>
          <t>date</t>
        </is>
      </c>
      <c r="C1" s="1" t="inlineStr">
        <is>
          <t>line</t>
        </is>
      </c>
      <c r="D1" s="1" t="inlineStr">
        <is>
          <t>sku</t>
        </is>
      </c>
      <c r="E1" s="1" t="inlineStr">
        <is>
          <t>type</t>
        </is>
      </c>
      <c r="F1" s="1" t="inlineStr">
        <is>
          <t>rework_of</t>
        </is>
      </c>
      <c r="G1" s="1" t="inlineStr">
        <is>
          <t>input_kg</t>
        </is>
      </c>
      <c r="H1" s="1" t="inlineStr">
        <is>
          <t>good_kg</t>
        </is>
      </c>
      <c r="I1" s="1" t="inlineStr">
        <is>
          <t>scrap_kg</t>
        </is>
      </c>
      <c r="J1" s="1" t="inlineStr">
        <is>
          <t>counted_input_kg</t>
        </is>
      </c>
      <c r="K1" s="1" t="inlineStr">
        <is>
          <t>counted_good_kg</t>
        </is>
      </c>
      <c r="L1" s="1" t="inlineStr">
        <is>
          <t>counted_scrap_kg</t>
        </is>
      </c>
    </row>
    <row r="2">
      <c r="A2" t="inlineStr">
        <is>
          <t>BR0803-1</t>
        </is>
      </c>
      <c r="B2" t="inlineStr">
        <is>
          <t>2026-08-03</t>
        </is>
      </c>
      <c r="C2" t="inlineStr">
        <is>
          <t>Bar line</t>
        </is>
      </c>
      <c r="D2" t="inlineStr">
        <is>
          <t>BAR-CHO-45</t>
        </is>
      </c>
      <c r="E2" t="inlineStr">
        <is>
          <t>Production</t>
        </is>
      </c>
      <c r="G2" t="n">
        <v>1231</v>
      </c>
      <c r="H2" t="n">
        <v>1152.9</v>
      </c>
      <c r="I2" t="n">
        <v>52.6</v>
      </c>
      <c r="J2" t="n">
        <v>1231</v>
      </c>
      <c r="K2" t="n">
        <v>1152.9</v>
      </c>
      <c r="L2" t="n">
        <v>52.6</v>
      </c>
    </row>
    <row r="3">
      <c r="A3" t="inlineStr">
        <is>
          <t>BT0803-1</t>
        </is>
      </c>
      <c r="B3" t="inlineStr">
        <is>
          <t>2026-08-03</t>
        </is>
      </c>
      <c r="C3" t="inlineStr">
        <is>
          <t>Bites line</t>
        </is>
      </c>
      <c r="D3" t="inlineStr">
        <is>
          <t>BITE-DATE-12</t>
        </is>
      </c>
      <c r="E3" t="inlineStr">
        <is>
          <t>Production</t>
        </is>
      </c>
      <c r="G3" t="n">
        <v>161</v>
      </c>
      <c r="H3" t="n">
        <v>151.632</v>
      </c>
      <c r="I3" t="n">
        <v>6.36</v>
      </c>
      <c r="J3" t="n">
        <v>161</v>
      </c>
      <c r="K3" t="n">
        <v>151.632</v>
      </c>
      <c r="L3" t="n">
        <v>6.36</v>
      </c>
    </row>
    <row r="4">
      <c r="A4" t="inlineStr">
        <is>
          <t>BT0803-2</t>
        </is>
      </c>
      <c r="B4" t="inlineStr">
        <is>
          <t>2026-08-03</t>
        </is>
      </c>
      <c r="C4" t="inlineStr">
        <is>
          <t>Bites line</t>
        </is>
      </c>
      <c r="D4" t="inlineStr">
        <is>
          <t>BITE-DATE-12</t>
        </is>
      </c>
      <c r="E4" t="inlineStr">
        <is>
          <t>Production</t>
        </is>
      </c>
      <c r="G4" t="n">
        <v>170</v>
      </c>
      <c r="H4" t="n">
        <v>153.144</v>
      </c>
      <c r="I4" t="n">
        <v>14.93</v>
      </c>
      <c r="J4" t="n">
        <v>170</v>
      </c>
      <c r="K4" t="n">
        <v>153.144</v>
      </c>
      <c r="L4" t="n">
        <v>14.93</v>
      </c>
    </row>
    <row r="5">
      <c r="A5" t="inlineStr">
        <is>
          <t>GR0803-1</t>
        </is>
      </c>
      <c r="B5" t="inlineStr">
        <is>
          <t>2026-08-03</t>
        </is>
      </c>
      <c r="C5" t="inlineStr">
        <is>
          <t>Granola line</t>
        </is>
      </c>
      <c r="D5" t="inlineStr">
        <is>
          <t>GRN-CIN-500</t>
        </is>
      </c>
      <c r="E5" t="inlineStr">
        <is>
          <t>Production</t>
        </is>
      </c>
      <c r="G5" t="n">
        <v>751</v>
      </c>
      <c r="H5" t="n">
        <v>693</v>
      </c>
      <c r="I5" t="n">
        <v>27.4</v>
      </c>
      <c r="J5" t="n">
        <v>751</v>
      </c>
      <c r="K5" t="n">
        <v>693</v>
      </c>
      <c r="L5" t="n">
        <v>27.4</v>
      </c>
    </row>
    <row r="6">
      <c r="A6" t="inlineStr">
        <is>
          <t>BR0804-1</t>
        </is>
      </c>
      <c r="B6" t="inlineStr">
        <is>
          <t>2026-08-04</t>
        </is>
      </c>
      <c r="C6" t="inlineStr">
        <is>
          <t>Bar line</t>
        </is>
      </c>
      <c r="D6" t="inlineStr">
        <is>
          <t>BAR-PB-42</t>
        </is>
      </c>
      <c r="E6" t="inlineStr">
        <is>
          <t>Production</t>
        </is>
      </c>
      <c r="G6" t="n">
        <v>1143</v>
      </c>
      <c r="H6" t="n">
        <v>1078.56</v>
      </c>
      <c r="I6" t="n">
        <v>39.7</v>
      </c>
      <c r="J6" t="n">
        <v>1143</v>
      </c>
      <c r="K6" t="n">
        <v>1078.56</v>
      </c>
      <c r="L6" t="n">
        <v>39.7</v>
      </c>
    </row>
    <row r="7">
      <c r="A7" t="inlineStr">
        <is>
          <t>BR0804-2</t>
        </is>
      </c>
      <c r="B7" t="inlineStr">
        <is>
          <t>2026-08-04</t>
        </is>
      </c>
      <c r="C7" t="inlineStr">
        <is>
          <t>Bar line</t>
        </is>
      </c>
      <c r="D7" t="inlineStr">
        <is>
          <t>BAR-PB-42</t>
        </is>
      </c>
      <c r="E7" t="inlineStr">
        <is>
          <t>Production</t>
        </is>
      </c>
      <c r="G7" t="n">
        <v>1045</v>
      </c>
      <c r="H7" t="n">
        <v>991.872</v>
      </c>
      <c r="I7" t="n">
        <v>31.5</v>
      </c>
      <c r="J7" t="n">
        <v>1045</v>
      </c>
      <c r="K7" t="n">
        <v>991.872</v>
      </c>
      <c r="L7" t="n">
        <v>31.5</v>
      </c>
    </row>
    <row r="8">
      <c r="A8" t="inlineStr">
        <is>
          <t>BT0804-1</t>
        </is>
      </c>
      <c r="B8" t="inlineStr">
        <is>
          <t>2026-08-04</t>
        </is>
      </c>
      <c r="C8" t="inlineStr">
        <is>
          <t>Bites line</t>
        </is>
      </c>
      <c r="D8" t="inlineStr">
        <is>
          <t>BITE-COCO-14</t>
        </is>
      </c>
      <c r="E8" t="inlineStr">
        <is>
          <t>Production</t>
        </is>
      </c>
      <c r="G8" t="n">
        <v>205</v>
      </c>
      <c r="H8" t="n">
        <v>187.726</v>
      </c>
      <c r="I8" t="n">
        <v>11.73</v>
      </c>
      <c r="J8" t="n">
        <v>205</v>
      </c>
      <c r="K8" t="n">
        <v>187.726</v>
      </c>
      <c r="L8" t="n">
        <v>11.73</v>
      </c>
    </row>
    <row r="9">
      <c r="A9" t="inlineStr">
        <is>
          <t>BT0804-2</t>
        </is>
      </c>
      <c r="B9" t="inlineStr">
        <is>
          <t>2026-08-04</t>
        </is>
      </c>
      <c r="C9" t="inlineStr">
        <is>
          <t>Bites line</t>
        </is>
      </c>
      <c r="D9" t="inlineStr">
        <is>
          <t>BITE-COCO-14</t>
        </is>
      </c>
      <c r="E9" t="inlineStr">
        <is>
          <t>Production</t>
        </is>
      </c>
      <c r="G9" t="n">
        <v>161</v>
      </c>
      <c r="H9" t="n">
        <v>145.334</v>
      </c>
      <c r="I9" t="n">
        <v>12.49</v>
      </c>
      <c r="J9" t="n">
        <v>161</v>
      </c>
      <c r="K9" t="n">
        <v>145.334</v>
      </c>
      <c r="L9" t="n">
        <v>12.49</v>
      </c>
    </row>
    <row r="10">
      <c r="A10" t="inlineStr">
        <is>
          <t>GR0804-1</t>
        </is>
      </c>
      <c r="B10" t="inlineStr">
        <is>
          <t>2026-08-04</t>
        </is>
      </c>
      <c r="C10" t="inlineStr">
        <is>
          <t>Granola line</t>
        </is>
      </c>
      <c r="D10" t="inlineStr">
        <is>
          <t>GRN-HON-340</t>
        </is>
      </c>
      <c r="E10" t="inlineStr">
        <is>
          <t>Production</t>
        </is>
      </c>
      <c r="G10" t="n">
        <v>647</v>
      </c>
      <c r="H10" t="n">
        <v>576.3</v>
      </c>
      <c r="I10" t="n">
        <v>28.1</v>
      </c>
      <c r="J10" t="n">
        <v>647</v>
      </c>
      <c r="K10" t="n">
        <v>576.3</v>
      </c>
      <c r="L10" t="n">
        <v>28.1</v>
      </c>
    </row>
    <row r="11">
      <c r="A11" t="inlineStr">
        <is>
          <t>BR0805-1</t>
        </is>
      </c>
      <c r="B11" t="inlineStr">
        <is>
          <t>2026-08-05</t>
        </is>
      </c>
      <c r="C11" t="inlineStr">
        <is>
          <t>Bar line</t>
        </is>
      </c>
      <c r="D11" t="inlineStr">
        <is>
          <t>BAR-OAT-42</t>
        </is>
      </c>
      <c r="E11" t="inlineStr">
        <is>
          <t>Production</t>
        </is>
      </c>
      <c r="G11" t="n">
        <v>1116</v>
      </c>
      <c r="H11" t="n">
        <v>1055.376</v>
      </c>
      <c r="I11" t="n">
        <v>51.2</v>
      </c>
      <c r="J11" t="n">
        <v>1116</v>
      </c>
      <c r="K11" t="n">
        <v>1055.376</v>
      </c>
      <c r="L11" t="n">
        <v>51.2</v>
      </c>
    </row>
    <row r="12">
      <c r="A12" t="inlineStr">
        <is>
          <t>BR0805-2</t>
        </is>
      </c>
      <c r="B12" t="inlineStr">
        <is>
          <t>2026-08-05</t>
        </is>
      </c>
      <c r="C12" t="inlineStr">
        <is>
          <t>Bar line</t>
        </is>
      </c>
      <c r="D12" t="inlineStr">
        <is>
          <t>BAR-CHO-45</t>
        </is>
      </c>
      <c r="E12" t="inlineStr">
        <is>
          <t>Production</t>
        </is>
      </c>
      <c r="G12" t="n">
        <v>1094</v>
      </c>
      <c r="H12" t="n">
        <v>1013.4</v>
      </c>
      <c r="I12" t="n">
        <v>53.7</v>
      </c>
      <c r="J12" t="n">
        <v>1094</v>
      </c>
      <c r="K12" t="n">
        <v>1013.4</v>
      </c>
      <c r="L12" t="n">
        <v>53.7</v>
      </c>
    </row>
    <row r="13">
      <c r="A13" t="inlineStr">
        <is>
          <t>BR0805-3</t>
        </is>
      </c>
      <c r="B13" t="inlineStr">
        <is>
          <t>2026-08-05</t>
        </is>
      </c>
      <c r="C13" t="inlineStr">
        <is>
          <t>Bar line</t>
        </is>
      </c>
      <c r="D13" t="inlineStr">
        <is>
          <t>BAR-PRO-50</t>
        </is>
      </c>
      <c r="E13" t="inlineStr">
        <is>
          <t>Trial</t>
        </is>
      </c>
      <c r="G13" t="n">
        <v>204</v>
      </c>
      <c r="H13" t="n">
        <v>122.4</v>
      </c>
      <c r="I13" t="n">
        <v>71.40000000000001</v>
      </c>
      <c r="J13" t="n">
        <v>0</v>
      </c>
      <c r="K13" t="n">
        <v>0</v>
      </c>
      <c r="L13" t="n">
        <v>0</v>
      </c>
    </row>
    <row r="14">
      <c r="A14" t="inlineStr">
        <is>
          <t>BT0805-1</t>
        </is>
      </c>
      <c r="B14" t="inlineStr">
        <is>
          <t>2026-08-05</t>
        </is>
      </c>
      <c r="C14" t="inlineStr">
        <is>
          <t>Bites line</t>
        </is>
      </c>
      <c r="D14" t="inlineStr">
        <is>
          <t>BITE-DATE-12</t>
        </is>
      </c>
      <c r="E14" t="inlineStr">
        <is>
          <t>Production</t>
        </is>
      </c>
      <c r="G14" t="n">
        <v>147</v>
      </c>
      <c r="H14" t="n">
        <v>138.852</v>
      </c>
      <c r="I14" t="n">
        <v>5.63</v>
      </c>
      <c r="J14" t="n">
        <v>147</v>
      </c>
      <c r="K14" t="n">
        <v>138.852</v>
      </c>
      <c r="L14" t="n">
        <v>5.63</v>
      </c>
    </row>
    <row r="15">
      <c r="A15" t="inlineStr">
        <is>
          <t>BT0805-2</t>
        </is>
      </c>
      <c r="B15" t="inlineStr">
        <is>
          <t>2026-08-05</t>
        </is>
      </c>
      <c r="C15" t="inlineStr">
        <is>
          <t>Bites line</t>
        </is>
      </c>
      <c r="D15" t="inlineStr">
        <is>
          <t>BITE-COCO-14</t>
        </is>
      </c>
      <c r="E15" t="inlineStr">
        <is>
          <t>Production</t>
        </is>
      </c>
      <c r="G15" t="n">
        <v>258</v>
      </c>
      <c r="H15" t="n">
        <v>237.51</v>
      </c>
      <c r="I15" t="n">
        <v>16.47</v>
      </c>
      <c r="J15" t="n">
        <v>258</v>
      </c>
      <c r="K15" t="n">
        <v>237.51</v>
      </c>
      <c r="L15" t="n">
        <v>16.47</v>
      </c>
    </row>
    <row r="16">
      <c r="A16" t="inlineStr">
        <is>
          <t>GR0805-1</t>
        </is>
      </c>
      <c r="B16" t="inlineStr">
        <is>
          <t>2026-08-05</t>
        </is>
      </c>
      <c r="C16" t="inlineStr">
        <is>
          <t>Granola line</t>
        </is>
      </c>
      <c r="D16" t="inlineStr">
        <is>
          <t>GRN-CIN-500</t>
        </is>
      </c>
      <c r="E16" t="inlineStr">
        <is>
          <t>Production</t>
        </is>
      </c>
      <c r="G16" t="n">
        <v>729</v>
      </c>
      <c r="H16" t="n">
        <v>680.5</v>
      </c>
      <c r="I16" t="n">
        <v>13.4</v>
      </c>
      <c r="J16" t="n">
        <v>729</v>
      </c>
      <c r="K16" t="n">
        <v>680.5</v>
      </c>
      <c r="L16" t="n">
        <v>13.4</v>
      </c>
    </row>
    <row r="17">
      <c r="A17" t="inlineStr">
        <is>
          <t>BR0806-1</t>
        </is>
      </c>
      <c r="B17" t="inlineStr">
        <is>
          <t>2026-08-06</t>
        </is>
      </c>
      <c r="C17" t="inlineStr">
        <is>
          <t>Bar line</t>
        </is>
      </c>
      <c r="D17" t="inlineStr">
        <is>
          <t>BAR-CHO-45</t>
        </is>
      </c>
      <c r="E17" t="inlineStr">
        <is>
          <t>Production</t>
        </is>
      </c>
      <c r="G17" t="n">
        <v>863</v>
      </c>
      <c r="H17" t="n">
        <v>809.1</v>
      </c>
      <c r="I17" t="n">
        <v>44.8</v>
      </c>
      <c r="J17" t="n">
        <v>863</v>
      </c>
      <c r="K17" t="n">
        <v>809.1</v>
      </c>
      <c r="L17" t="n">
        <v>44.8</v>
      </c>
    </row>
    <row r="18">
      <c r="A18" t="inlineStr">
        <is>
          <t>BR0806-2</t>
        </is>
      </c>
      <c r="B18" t="inlineStr">
        <is>
          <t>2026-08-06</t>
        </is>
      </c>
      <c r="C18" t="inlineStr">
        <is>
          <t>Bar line</t>
        </is>
      </c>
      <c r="D18" t="inlineStr">
        <is>
          <t>BAR-OAT-42</t>
        </is>
      </c>
      <c r="E18" t="inlineStr">
        <is>
          <t>Production</t>
        </is>
      </c>
      <c r="G18" t="n">
        <v>1006</v>
      </c>
      <c r="H18" t="n">
        <v>918.54</v>
      </c>
      <c r="I18" t="n">
        <v>68.5</v>
      </c>
      <c r="J18" t="n">
        <v>1006</v>
      </c>
      <c r="K18" t="n">
        <v>918.54</v>
      </c>
      <c r="L18" t="n">
        <v>68.5</v>
      </c>
    </row>
    <row r="19">
      <c r="A19" t="inlineStr">
        <is>
          <t>BT0806-1</t>
        </is>
      </c>
      <c r="B19" t="inlineStr">
        <is>
          <t>2026-08-06</t>
        </is>
      </c>
      <c r="C19" t="inlineStr">
        <is>
          <t>Bites line</t>
        </is>
      </c>
      <c r="D19" t="inlineStr">
        <is>
          <t>BITE-DATE-12</t>
        </is>
      </c>
      <c r="E19" t="inlineStr">
        <is>
          <t>Production</t>
        </is>
      </c>
      <c r="G19" t="n">
        <v>198</v>
      </c>
      <c r="H19" t="n">
        <v>185.604</v>
      </c>
      <c r="I19" t="n">
        <v>9.710000000000001</v>
      </c>
      <c r="J19" t="n">
        <v>198</v>
      </c>
      <c r="K19" t="n">
        <v>185.604</v>
      </c>
      <c r="L19" t="n">
        <v>9.710000000000001</v>
      </c>
    </row>
    <row r="20">
      <c r="A20" t="inlineStr">
        <is>
          <t>GR0806-1</t>
        </is>
      </c>
      <c r="B20" t="inlineStr">
        <is>
          <t>2026-08-06</t>
        </is>
      </c>
      <c r="C20" t="inlineStr">
        <is>
          <t>Granola line</t>
        </is>
      </c>
      <c r="D20" t="inlineStr">
        <is>
          <t>GRN-CIN-500</t>
        </is>
      </c>
      <c r="E20" t="inlineStr">
        <is>
          <t>Production</t>
        </is>
      </c>
      <c r="G20" t="n">
        <v>874</v>
      </c>
      <c r="H20" t="n">
        <v>787.6</v>
      </c>
      <c r="I20" t="n">
        <v>29.5</v>
      </c>
      <c r="J20" t="n">
        <v>874</v>
      </c>
      <c r="K20" t="n">
        <v>787.6</v>
      </c>
      <c r="L20" t="n">
        <v>29.5</v>
      </c>
    </row>
    <row r="21">
      <c r="A21" t="inlineStr">
        <is>
          <t>GR0806-2</t>
        </is>
      </c>
      <c r="B21" t="inlineStr">
        <is>
          <t>2026-08-06</t>
        </is>
      </c>
      <c r="C21" t="inlineStr">
        <is>
          <t>Granola line</t>
        </is>
      </c>
      <c r="D21" t="inlineStr">
        <is>
          <t>GRN-HON-340</t>
        </is>
      </c>
      <c r="E21" t="inlineStr">
        <is>
          <t>Production</t>
        </is>
      </c>
      <c r="G21" t="n">
        <v>620</v>
      </c>
      <c r="H21" t="n">
        <v>582.08</v>
      </c>
      <c r="I21" t="n">
        <v>12.2</v>
      </c>
      <c r="J21" t="n">
        <v>620</v>
      </c>
      <c r="K21" t="n">
        <v>582.08</v>
      </c>
      <c r="L21" t="n">
        <v>12.2</v>
      </c>
    </row>
    <row r="22">
      <c r="A22" t="inlineStr">
        <is>
          <t>BR0807-1</t>
        </is>
      </c>
      <c r="B22" t="inlineStr">
        <is>
          <t>2026-08-07</t>
        </is>
      </c>
      <c r="C22" t="inlineStr">
        <is>
          <t>Bar line</t>
        </is>
      </c>
      <c r="D22" t="inlineStr">
        <is>
          <t>BAR-PB-42</t>
        </is>
      </c>
      <c r="E22" t="inlineStr">
        <is>
          <t>Production</t>
        </is>
      </c>
      <c r="G22" t="n">
        <v>1227</v>
      </c>
      <c r="H22" t="n">
        <v>1129.968</v>
      </c>
      <c r="I22" t="n">
        <v>76.2</v>
      </c>
      <c r="J22" t="n">
        <v>1227</v>
      </c>
      <c r="K22" t="n">
        <v>1129.968</v>
      </c>
      <c r="L22" t="n">
        <v>76.2</v>
      </c>
    </row>
    <row r="23">
      <c r="A23" t="inlineStr">
        <is>
          <t>BT0807-1</t>
        </is>
      </c>
      <c r="B23" t="inlineStr">
        <is>
          <t>2026-08-07</t>
        </is>
      </c>
      <c r="C23" t="inlineStr">
        <is>
          <t>Bites line</t>
        </is>
      </c>
      <c r="D23" t="inlineStr">
        <is>
          <t>BITE-DATE-12</t>
        </is>
      </c>
      <c r="E23" t="inlineStr">
        <is>
          <t>Production</t>
        </is>
      </c>
      <c r="G23" t="n">
        <v>169</v>
      </c>
      <c r="H23" t="n">
        <v>155.7</v>
      </c>
      <c r="I23" t="n">
        <v>9.93</v>
      </c>
      <c r="J23" t="n">
        <v>169</v>
      </c>
      <c r="K23" t="n">
        <v>155.7</v>
      </c>
      <c r="L23" t="n">
        <v>9.93</v>
      </c>
    </row>
    <row r="24">
      <c r="A24" t="inlineStr">
        <is>
          <t>GR0807-1</t>
        </is>
      </c>
      <c r="B24" t="inlineStr">
        <is>
          <t>2026-08-07</t>
        </is>
      </c>
      <c r="C24" t="inlineStr">
        <is>
          <t>Granola line</t>
        </is>
      </c>
      <c r="D24" t="inlineStr">
        <is>
          <t>GRN-HON-340</t>
        </is>
      </c>
      <c r="E24" t="inlineStr">
        <is>
          <t>Production</t>
        </is>
      </c>
      <c r="G24" t="n">
        <v>680</v>
      </c>
      <c r="H24" t="n">
        <v>623.5599999999999</v>
      </c>
      <c r="I24" t="n">
        <v>22.2</v>
      </c>
      <c r="J24" t="n">
        <v>680</v>
      </c>
      <c r="K24" t="n">
        <v>623.5599999999999</v>
      </c>
      <c r="L24" t="n">
        <v>22.2</v>
      </c>
    </row>
    <row r="25">
      <c r="A25" t="inlineStr">
        <is>
          <t>GR0807-2</t>
        </is>
      </c>
      <c r="B25" t="inlineStr">
        <is>
          <t>2026-08-07</t>
        </is>
      </c>
      <c r="C25" t="inlineStr">
        <is>
          <t>Granola line</t>
        </is>
      </c>
      <c r="D25" t="inlineStr">
        <is>
          <t>GRN-CIN-500</t>
        </is>
      </c>
      <c r="E25" t="inlineStr">
        <is>
          <t>Production</t>
        </is>
      </c>
      <c r="G25" t="n">
        <v>702</v>
      </c>
      <c r="H25" t="n">
        <v>635.9</v>
      </c>
      <c r="I25" t="n">
        <v>31.8</v>
      </c>
      <c r="J25" t="n">
        <v>702</v>
      </c>
      <c r="K25" t="n">
        <v>635.9</v>
      </c>
      <c r="L25" t="n">
        <v>31.8</v>
      </c>
    </row>
    <row r="26">
      <c r="A26" t="inlineStr">
        <is>
          <t>BR0810-1</t>
        </is>
      </c>
      <c r="B26" t="inlineStr">
        <is>
          <t>2026-08-10</t>
        </is>
      </c>
      <c r="C26" t="inlineStr">
        <is>
          <t>Bar line</t>
        </is>
      </c>
      <c r="D26" t="inlineStr">
        <is>
          <t>BAR-PB-42</t>
        </is>
      </c>
      <c r="E26" t="inlineStr">
        <is>
          <t>Production</t>
        </is>
      </c>
      <c r="G26" t="n">
        <v>904</v>
      </c>
      <c r="H26" t="n">
        <v>833.112</v>
      </c>
      <c r="I26" t="n">
        <v>59.7</v>
      </c>
      <c r="J26" t="n">
        <v>904</v>
      </c>
      <c r="K26" t="n">
        <v>833.112</v>
      </c>
      <c r="L26" t="n">
        <v>59.7</v>
      </c>
    </row>
    <row r="27">
      <c r="A27" t="inlineStr">
        <is>
          <t>BR0810-2</t>
        </is>
      </c>
      <c r="B27" t="inlineStr">
        <is>
          <t>2026-08-10</t>
        </is>
      </c>
      <c r="C27" t="inlineStr">
        <is>
          <t>Bar line</t>
        </is>
      </c>
      <c r="D27" t="inlineStr">
        <is>
          <t>BAR-PB-42</t>
        </is>
      </c>
      <c r="E27" t="inlineStr">
        <is>
          <t>Production</t>
        </is>
      </c>
      <c r="G27" t="n">
        <v>1078</v>
      </c>
      <c r="H27" t="n">
        <v>1010.016</v>
      </c>
      <c r="I27" t="n">
        <v>42.6</v>
      </c>
      <c r="J27" t="n">
        <v>1078</v>
      </c>
      <c r="K27" t="n">
        <v>1010.016</v>
      </c>
      <c r="L27" t="n">
        <v>42.6</v>
      </c>
    </row>
    <row r="28">
      <c r="A28" t="inlineStr">
        <is>
          <t>BT0810-1</t>
        </is>
      </c>
      <c r="B28" t="inlineStr">
        <is>
          <t>2026-08-10</t>
        </is>
      </c>
      <c r="C28" t="inlineStr">
        <is>
          <t>Bites line</t>
        </is>
      </c>
      <c r="D28" t="inlineStr">
        <is>
          <t>BITE-COCO-14</t>
        </is>
      </c>
      <c r="E28" t="inlineStr">
        <is>
          <t>Production</t>
        </is>
      </c>
      <c r="G28" t="n">
        <v>207</v>
      </c>
      <c r="H28" t="n">
        <v>183.554</v>
      </c>
      <c r="I28" t="n">
        <v>17.61</v>
      </c>
      <c r="J28" t="n">
        <v>207</v>
      </c>
      <c r="K28" t="n">
        <v>183.554</v>
      </c>
      <c r="L28" t="n">
        <v>17.61</v>
      </c>
    </row>
    <row r="29">
      <c r="A29" t="inlineStr">
        <is>
          <t>GR0810-1</t>
        </is>
      </c>
      <c r="B29" t="inlineStr">
        <is>
          <t>2026-08-10</t>
        </is>
      </c>
      <c r="C29" t="inlineStr">
        <is>
          <t>Granola line</t>
        </is>
      </c>
      <c r="D29" t="inlineStr">
        <is>
          <t>GRN-CIN-500</t>
        </is>
      </c>
      <c r="E29" t="inlineStr">
        <is>
          <t>Production</t>
        </is>
      </c>
      <c r="G29" t="n">
        <v>641</v>
      </c>
      <c r="H29" t="n">
        <v>592.5</v>
      </c>
      <c r="I29" t="n">
        <v>12</v>
      </c>
      <c r="J29" t="n">
        <v>641</v>
      </c>
      <c r="K29" t="n">
        <v>592.5</v>
      </c>
      <c r="L29" t="n">
        <v>12</v>
      </c>
    </row>
    <row r="30">
      <c r="A30" t="inlineStr">
        <is>
          <t>GR0810-2</t>
        </is>
      </c>
      <c r="B30" t="inlineStr">
        <is>
          <t>2026-08-10</t>
        </is>
      </c>
      <c r="C30" t="inlineStr">
        <is>
          <t>Granola line</t>
        </is>
      </c>
      <c r="D30" t="inlineStr">
        <is>
          <t>GRN-HON-340</t>
        </is>
      </c>
      <c r="E30" t="inlineStr">
        <is>
          <t>Production</t>
        </is>
      </c>
      <c r="G30" t="n">
        <v>714</v>
      </c>
      <c r="H30" t="n">
        <v>649.74</v>
      </c>
      <c r="I30" t="n">
        <v>14.4</v>
      </c>
      <c r="J30" t="n">
        <v>714</v>
      </c>
      <c r="K30" t="n">
        <v>649.74</v>
      </c>
      <c r="L30" t="n">
        <v>14.4</v>
      </c>
    </row>
    <row r="31">
      <c r="A31" t="inlineStr">
        <is>
          <t>BR0811-1</t>
        </is>
      </c>
      <c r="B31" t="inlineStr">
        <is>
          <t>2026-08-11</t>
        </is>
      </c>
      <c r="C31" t="inlineStr">
        <is>
          <t>Bar line</t>
        </is>
      </c>
      <c r="D31" t="inlineStr">
        <is>
          <t>BAR-CHO-45</t>
        </is>
      </c>
      <c r="E31" t="inlineStr">
        <is>
          <t>Production</t>
        </is>
      </c>
      <c r="G31" t="n">
        <v>1027</v>
      </c>
      <c r="H31" t="n">
        <v>948.6900000000001</v>
      </c>
      <c r="I31" t="n">
        <v>55.5</v>
      </c>
      <c r="J31" t="n">
        <v>1027</v>
      </c>
      <c r="K31" t="n">
        <v>948.6900000000001</v>
      </c>
      <c r="L31" t="n">
        <v>55.5</v>
      </c>
    </row>
    <row r="32">
      <c r="A32" t="inlineStr">
        <is>
          <t>BR0811-2</t>
        </is>
      </c>
      <c r="B32" t="inlineStr">
        <is>
          <t>2026-08-11</t>
        </is>
      </c>
      <c r="C32" t="inlineStr">
        <is>
          <t>Bar line</t>
        </is>
      </c>
      <c r="D32" t="inlineStr">
        <is>
          <t>BAR-PB-42</t>
        </is>
      </c>
      <c r="E32" t="inlineStr">
        <is>
          <t>Production</t>
        </is>
      </c>
      <c r="G32" t="n">
        <v>1036</v>
      </c>
      <c r="H32" t="n">
        <v>966.84</v>
      </c>
      <c r="I32" t="n">
        <v>59.5</v>
      </c>
      <c r="J32" t="n">
        <v>1036</v>
      </c>
      <c r="K32" t="n">
        <v>966.84</v>
      </c>
      <c r="L32" t="n">
        <v>59.5</v>
      </c>
    </row>
    <row r="33">
      <c r="A33" t="inlineStr">
        <is>
          <t>BT0811-1</t>
        </is>
      </c>
      <c r="B33" t="inlineStr">
        <is>
          <t>2026-08-11</t>
        </is>
      </c>
      <c r="C33" t="inlineStr">
        <is>
          <t>Bites line</t>
        </is>
      </c>
      <c r="D33" t="inlineStr">
        <is>
          <t>BITE-DATE-12</t>
        </is>
      </c>
      <c r="E33" t="inlineStr">
        <is>
          <t>Production</t>
        </is>
      </c>
      <c r="G33" t="n">
        <v>146</v>
      </c>
      <c r="H33" t="n">
        <v>135.468</v>
      </c>
      <c r="I33" t="n">
        <v>8.859999999999999</v>
      </c>
      <c r="J33" t="n">
        <v>146</v>
      </c>
      <c r="K33" t="n">
        <v>135.468</v>
      </c>
      <c r="L33" t="n">
        <v>8.859999999999999</v>
      </c>
    </row>
    <row r="34">
      <c r="A34" t="inlineStr">
        <is>
          <t>BT0811-2</t>
        </is>
      </c>
      <c r="B34" t="inlineStr">
        <is>
          <t>2026-08-11</t>
        </is>
      </c>
      <c r="C34" t="inlineStr">
        <is>
          <t>Bites line</t>
        </is>
      </c>
      <c r="D34" t="inlineStr">
        <is>
          <t>BITE-DATE-12</t>
        </is>
      </c>
      <c r="E34" t="inlineStr">
        <is>
          <t>Production</t>
        </is>
      </c>
      <c r="G34" t="n">
        <v>201</v>
      </c>
      <c r="H34" t="n">
        <v>187.308</v>
      </c>
      <c r="I34" t="n">
        <v>8.49</v>
      </c>
      <c r="J34" t="n">
        <v>201</v>
      </c>
      <c r="K34" t="n">
        <v>187.308</v>
      </c>
      <c r="L34" t="n">
        <v>8.49</v>
      </c>
    </row>
    <row r="35">
      <c r="A35" t="inlineStr">
        <is>
          <t>GR0811-1</t>
        </is>
      </c>
      <c r="B35" t="inlineStr">
        <is>
          <t>2026-08-11</t>
        </is>
      </c>
      <c r="C35" t="inlineStr">
        <is>
          <t>Granola line</t>
        </is>
      </c>
      <c r="D35" t="inlineStr">
        <is>
          <t>GRN-CIN-500</t>
        </is>
      </c>
      <c r="E35" t="inlineStr">
        <is>
          <t>Production</t>
        </is>
      </c>
      <c r="G35" t="n">
        <v>623</v>
      </c>
      <c r="H35" t="n">
        <v>566.1</v>
      </c>
      <c r="I35" t="n">
        <v>21.7</v>
      </c>
      <c r="J35" t="n">
        <v>623</v>
      </c>
      <c r="K35" t="n">
        <v>566.1</v>
      </c>
      <c r="L35" t="n">
        <v>21.7</v>
      </c>
    </row>
    <row r="36">
      <c r="A36" t="inlineStr">
        <is>
          <t>BR0812-1</t>
        </is>
      </c>
      <c r="B36" t="inlineStr">
        <is>
          <t>2026-08-12</t>
        </is>
      </c>
      <c r="C36" t="inlineStr">
        <is>
          <t>Bar line</t>
        </is>
      </c>
      <c r="D36" t="inlineStr">
        <is>
          <t>BAR-CHO-45</t>
        </is>
      </c>
      <c r="E36" t="inlineStr">
        <is>
          <t>Production</t>
        </is>
      </c>
      <c r="G36" t="n">
        <v>1019</v>
      </c>
      <c r="H36" t="n">
        <v>947.88</v>
      </c>
      <c r="I36" t="n">
        <v>56.5</v>
      </c>
      <c r="J36" t="n">
        <v>1019</v>
      </c>
      <c r="K36" t="n">
        <v>947.88</v>
      </c>
      <c r="L36" t="n">
        <v>56.5</v>
      </c>
    </row>
    <row r="37">
      <c r="A37" t="inlineStr">
        <is>
          <t>BR0812-2</t>
        </is>
      </c>
      <c r="B37" t="inlineStr">
        <is>
          <t>2026-08-12</t>
        </is>
      </c>
      <c r="C37" t="inlineStr">
        <is>
          <t>Bar line</t>
        </is>
      </c>
      <c r="D37" t="inlineStr">
        <is>
          <t>BAR-CHO-45</t>
        </is>
      </c>
      <c r="E37" t="inlineStr">
        <is>
          <t>Production</t>
        </is>
      </c>
      <c r="G37" t="n">
        <v>1228</v>
      </c>
      <c r="H37" t="n">
        <v>1129.5</v>
      </c>
      <c r="I37" t="n">
        <v>81.8</v>
      </c>
      <c r="J37" t="n">
        <v>1228</v>
      </c>
      <c r="K37" t="n">
        <v>1129.5</v>
      </c>
      <c r="L37" t="n">
        <v>81.8</v>
      </c>
    </row>
    <row r="38">
      <c r="A38" t="inlineStr">
        <is>
          <t>BT0812-1</t>
        </is>
      </c>
      <c r="B38" t="inlineStr">
        <is>
          <t>2026-08-12</t>
        </is>
      </c>
      <c r="C38" t="inlineStr">
        <is>
          <t>Bites line</t>
        </is>
      </c>
      <c r="D38" t="inlineStr">
        <is>
          <t>BITE-COCO-14</t>
        </is>
      </c>
      <c r="E38" t="inlineStr">
        <is>
          <t>Production</t>
        </is>
      </c>
      <c r="G38" t="n">
        <v>160</v>
      </c>
      <c r="H38" t="n">
        <v>146.888</v>
      </c>
      <c r="I38" t="n">
        <v>9.26</v>
      </c>
      <c r="J38" t="n">
        <v>160</v>
      </c>
      <c r="K38" t="n">
        <v>146.888</v>
      </c>
      <c r="L38" t="n">
        <v>9.26</v>
      </c>
    </row>
    <row r="39">
      <c r="A39" t="inlineStr">
        <is>
          <t>BT0812-2</t>
        </is>
      </c>
      <c r="B39" t="inlineStr">
        <is>
          <t>2026-08-12</t>
        </is>
      </c>
      <c r="C39" t="inlineStr">
        <is>
          <t>Bites line</t>
        </is>
      </c>
      <c r="D39" t="inlineStr">
        <is>
          <t>BITE-COCO-14</t>
        </is>
      </c>
      <c r="E39" t="inlineStr">
        <is>
          <t>Rework</t>
        </is>
      </c>
      <c r="F39" t="inlineStr">
        <is>
          <t>BT0810-1</t>
        </is>
      </c>
      <c r="G39" t="n">
        <v>11.5</v>
      </c>
      <c r="H39" t="n">
        <v>9.156000000000001</v>
      </c>
      <c r="I39" t="n">
        <v>2.22</v>
      </c>
      <c r="J39" t="n">
        <v>0</v>
      </c>
      <c r="K39" t="n">
        <v>9.156000000000001</v>
      </c>
      <c r="L39" t="n">
        <v>-9.279999999999999</v>
      </c>
    </row>
    <row r="40">
      <c r="A40" t="inlineStr">
        <is>
          <t>GR0812-1</t>
        </is>
      </c>
      <c r="B40" t="inlineStr">
        <is>
          <t>2026-08-12</t>
        </is>
      </c>
      <c r="C40" t="inlineStr">
        <is>
          <t>Granola line</t>
        </is>
      </c>
      <c r="D40" t="inlineStr">
        <is>
          <t>GRN-CIN-500</t>
        </is>
      </c>
      <c r="E40" t="inlineStr">
        <is>
          <t>Production</t>
        </is>
      </c>
      <c r="G40" t="n">
        <v>769</v>
      </c>
      <c r="H40" t="n">
        <v>693</v>
      </c>
      <c r="I40" t="n">
        <v>23.9</v>
      </c>
      <c r="J40" t="n">
        <v>769</v>
      </c>
      <c r="K40" t="n">
        <v>693</v>
      </c>
      <c r="L40" t="n">
        <v>23.9</v>
      </c>
    </row>
    <row r="41">
      <c r="A41" t="inlineStr">
        <is>
          <t>GR0812-2</t>
        </is>
      </c>
      <c r="B41" t="inlineStr">
        <is>
          <t>2026-08-12</t>
        </is>
      </c>
      <c r="C41" t="inlineStr">
        <is>
          <t>Granola line</t>
        </is>
      </c>
      <c r="D41" t="inlineStr">
        <is>
          <t>GRN-KETO-300</t>
        </is>
      </c>
      <c r="E41" t="inlineStr">
        <is>
          <t>Trial</t>
        </is>
      </c>
      <c r="G41" t="n">
        <v>220</v>
      </c>
      <c r="H41" t="n">
        <v>132</v>
      </c>
      <c r="I41" t="n">
        <v>77</v>
      </c>
      <c r="J41" t="n">
        <v>0</v>
      </c>
      <c r="K41" t="n">
        <v>0</v>
      </c>
      <c r="L41" t="n">
        <v>0</v>
      </c>
    </row>
    <row r="42">
      <c r="A42" t="inlineStr">
        <is>
          <t>BR0813-1</t>
        </is>
      </c>
      <c r="B42" t="inlineStr">
        <is>
          <t>2026-08-13</t>
        </is>
      </c>
      <c r="C42" t="inlineStr">
        <is>
          <t>Bar line</t>
        </is>
      </c>
      <c r="D42" t="inlineStr">
        <is>
          <t>BAR-CHO-45</t>
        </is>
      </c>
      <c r="E42" t="inlineStr">
        <is>
          <t>Production</t>
        </is>
      </c>
      <c r="G42" t="n">
        <v>1232</v>
      </c>
      <c r="H42" t="n">
        <v>1137.6</v>
      </c>
      <c r="I42" t="n">
        <v>72.59999999999999</v>
      </c>
      <c r="J42" t="n">
        <v>1232</v>
      </c>
      <c r="K42" t="n">
        <v>1137.6</v>
      </c>
      <c r="L42" t="n">
        <v>72.59999999999999</v>
      </c>
    </row>
    <row r="43">
      <c r="A43" t="inlineStr">
        <is>
          <t>BR0813-2</t>
        </is>
      </c>
      <c r="B43" t="inlineStr">
        <is>
          <t>2026-08-13</t>
        </is>
      </c>
      <c r="C43" t="inlineStr">
        <is>
          <t>Bar line</t>
        </is>
      </c>
      <c r="D43" t="inlineStr">
        <is>
          <t>BAR-OAT-42</t>
        </is>
      </c>
      <c r="E43" t="inlineStr">
        <is>
          <t>Production</t>
        </is>
      </c>
      <c r="G43" t="n">
        <v>1076</v>
      </c>
      <c r="H43" t="n">
        <v>974.736</v>
      </c>
      <c r="I43" t="n">
        <v>73.7</v>
      </c>
      <c r="J43" t="n">
        <v>1076</v>
      </c>
      <c r="K43" t="n">
        <v>974.736</v>
      </c>
      <c r="L43" t="n">
        <v>73.7</v>
      </c>
    </row>
    <row r="44">
      <c r="A44" t="inlineStr">
        <is>
          <t>BT0813-1</t>
        </is>
      </c>
      <c r="B44" t="inlineStr">
        <is>
          <t>2026-08-13</t>
        </is>
      </c>
      <c r="C44" t="inlineStr">
        <is>
          <t>Bites line</t>
        </is>
      </c>
      <c r="D44" t="inlineStr">
        <is>
          <t>BITE-COCO-14</t>
        </is>
      </c>
      <c r="E44" t="inlineStr">
        <is>
          <t>Production</t>
        </is>
      </c>
      <c r="G44" t="n">
        <v>161</v>
      </c>
      <c r="H44" t="n">
        <v>151.648</v>
      </c>
      <c r="I44" t="n">
        <v>6.93</v>
      </c>
      <c r="J44" t="n">
        <v>161</v>
      </c>
      <c r="K44" t="n">
        <v>151.648</v>
      </c>
      <c r="L44" t="n">
        <v>6.93</v>
      </c>
    </row>
    <row r="45">
      <c r="A45" t="inlineStr">
        <is>
          <t>GR0813-1</t>
        </is>
      </c>
      <c r="B45" t="inlineStr">
        <is>
          <t>2026-08-13</t>
        </is>
      </c>
      <c r="C45" t="inlineStr">
        <is>
          <t>Granola line</t>
        </is>
      </c>
      <c r="D45" t="inlineStr">
        <is>
          <t>GRN-CIN-500</t>
        </is>
      </c>
      <c r="E45" t="inlineStr">
        <is>
          <t>Production</t>
        </is>
      </c>
      <c r="G45" t="n">
        <v>604</v>
      </c>
      <c r="H45" t="n">
        <v>556.5</v>
      </c>
      <c r="I45" t="n">
        <v>11</v>
      </c>
      <c r="J45" t="n">
        <v>604</v>
      </c>
      <c r="K45" t="n">
        <v>556.5</v>
      </c>
      <c r="L45" t="n">
        <v>11</v>
      </c>
    </row>
    <row r="46">
      <c r="A46" t="inlineStr">
        <is>
          <t>BR0814-1</t>
        </is>
      </c>
      <c r="B46" t="inlineStr">
        <is>
          <t>2026-08-14</t>
        </is>
      </c>
      <c r="C46" t="inlineStr">
        <is>
          <t>Bar line</t>
        </is>
      </c>
      <c r="D46" t="inlineStr">
        <is>
          <t>BAR-OAT-42</t>
        </is>
      </c>
      <c r="E46" t="inlineStr">
        <is>
          <t>Production</t>
        </is>
      </c>
      <c r="G46" t="n">
        <v>1032</v>
      </c>
      <c r="H46" t="n">
        <v>943.4880000000001</v>
      </c>
      <c r="I46" t="n">
        <v>74.7</v>
      </c>
      <c r="J46" t="n">
        <v>1032</v>
      </c>
      <c r="K46" t="n">
        <v>943.4880000000001</v>
      </c>
      <c r="L46" t="n">
        <v>74.7</v>
      </c>
    </row>
    <row r="47">
      <c r="A47" t="inlineStr">
        <is>
          <t>BR0814-2</t>
        </is>
      </c>
      <c r="B47" t="inlineStr">
        <is>
          <t>2026-08-14</t>
        </is>
      </c>
      <c r="C47" t="inlineStr">
        <is>
          <t>Bar line</t>
        </is>
      </c>
      <c r="D47" t="inlineStr">
        <is>
          <t>BAR-PB-42</t>
        </is>
      </c>
      <c r="E47" t="inlineStr">
        <is>
          <t>Production</t>
        </is>
      </c>
      <c r="G47" t="n">
        <v>1147</v>
      </c>
      <c r="H47" t="n">
        <v>1050.336</v>
      </c>
      <c r="I47" t="n">
        <v>76.2</v>
      </c>
      <c r="J47" t="n">
        <v>1147</v>
      </c>
      <c r="K47" t="n">
        <v>1050.336</v>
      </c>
      <c r="L47" t="n">
        <v>76.2</v>
      </c>
    </row>
    <row r="48">
      <c r="A48" t="inlineStr">
        <is>
          <t>BR0814-3</t>
        </is>
      </c>
      <c r="B48" t="inlineStr">
        <is>
          <t>2026-08-14</t>
        </is>
      </c>
      <c r="C48" t="inlineStr">
        <is>
          <t>Bar line</t>
        </is>
      </c>
      <c r="D48" t="inlineStr">
        <is>
          <t>BAR-CHO-45</t>
        </is>
      </c>
      <c r="E48" t="inlineStr">
        <is>
          <t>Rework</t>
        </is>
      </c>
      <c r="F48" t="inlineStr">
        <is>
          <t>BR0812-2</t>
        </is>
      </c>
      <c r="G48" t="n">
        <v>50</v>
      </c>
      <c r="H48" t="n">
        <v>44.1</v>
      </c>
      <c r="I48" t="n">
        <v>5</v>
      </c>
      <c r="J48" t="n">
        <v>0</v>
      </c>
      <c r="K48" t="n">
        <v>44.1</v>
      </c>
      <c r="L48" t="n">
        <v>-45</v>
      </c>
    </row>
    <row r="49">
      <c r="A49" t="inlineStr">
        <is>
          <t>BT0814-1</t>
        </is>
      </c>
      <c r="B49" t="inlineStr">
        <is>
          <t>2026-08-14</t>
        </is>
      </c>
      <c r="C49" t="inlineStr">
        <is>
          <t>Bites line</t>
        </is>
      </c>
      <c r="D49" t="inlineStr">
        <is>
          <t>BITE-COCO-14</t>
        </is>
      </c>
      <c r="E49" t="inlineStr">
        <is>
          <t>Production</t>
        </is>
      </c>
      <c r="G49" t="n">
        <v>222</v>
      </c>
      <c r="H49" t="n">
        <v>205.296</v>
      </c>
      <c r="I49" t="n">
        <v>11.3</v>
      </c>
      <c r="J49" t="n">
        <v>222</v>
      </c>
      <c r="K49" t="n">
        <v>205.296</v>
      </c>
      <c r="L49" t="n">
        <v>11.3</v>
      </c>
    </row>
    <row r="50">
      <c r="A50" t="inlineStr">
        <is>
          <t>GR0814-1</t>
        </is>
      </c>
      <c r="B50" t="inlineStr">
        <is>
          <t>2026-08-14</t>
        </is>
      </c>
      <c r="C50" t="inlineStr">
        <is>
          <t>Granola line</t>
        </is>
      </c>
      <c r="D50" t="inlineStr">
        <is>
          <t>GRN-HON-340</t>
        </is>
      </c>
      <c r="E50" t="inlineStr">
        <is>
          <t>Production</t>
        </is>
      </c>
      <c r="G50" t="n">
        <v>672</v>
      </c>
      <c r="H50" t="n">
        <v>605.2</v>
      </c>
      <c r="I50" t="n">
        <v>20</v>
      </c>
      <c r="J50" t="n">
        <v>672</v>
      </c>
      <c r="K50" t="n">
        <v>605.2</v>
      </c>
      <c r="L50" t="n">
        <v>20</v>
      </c>
    </row>
    <row r="51">
      <c r="A51" t="inlineStr">
        <is>
          <t>BR0817-1</t>
        </is>
      </c>
      <c r="B51" t="inlineStr">
        <is>
          <t>2026-08-17</t>
        </is>
      </c>
      <c r="C51" t="inlineStr">
        <is>
          <t>Bar line</t>
        </is>
      </c>
      <c r="D51" t="inlineStr">
        <is>
          <t>BAR-CHO-45</t>
        </is>
      </c>
      <c r="E51" t="inlineStr">
        <is>
          <t>Production</t>
        </is>
      </c>
      <c r="G51" t="n">
        <v>1214</v>
      </c>
      <c r="H51" t="n">
        <v>1124.1</v>
      </c>
      <c r="I51" t="n">
        <v>70.5</v>
      </c>
      <c r="J51" t="n">
        <v>1214</v>
      </c>
      <c r="K51" t="n">
        <v>1124.1</v>
      </c>
      <c r="L51" t="n">
        <v>70.5</v>
      </c>
    </row>
    <row r="52">
      <c r="A52" t="inlineStr">
        <is>
          <t>BR0817-2</t>
        </is>
      </c>
      <c r="B52" t="inlineStr">
        <is>
          <t>2026-08-17</t>
        </is>
      </c>
      <c r="C52" t="inlineStr">
        <is>
          <t>Bar line</t>
        </is>
      </c>
      <c r="D52" t="inlineStr">
        <is>
          <t>BAR-OAT-42</t>
        </is>
      </c>
      <c r="E52" t="inlineStr">
        <is>
          <t>Production</t>
        </is>
      </c>
      <c r="G52" t="n">
        <v>1066</v>
      </c>
      <c r="H52" t="n">
        <v>990.654</v>
      </c>
      <c r="I52" t="n">
        <v>61.5</v>
      </c>
      <c r="J52" t="n">
        <v>1066</v>
      </c>
      <c r="K52" t="n">
        <v>990.654</v>
      </c>
      <c r="L52" t="n">
        <v>61.5</v>
      </c>
    </row>
    <row r="53">
      <c r="A53" t="inlineStr">
        <is>
          <t>BR0817-3</t>
        </is>
      </c>
      <c r="B53" t="inlineStr">
        <is>
          <t>2026-08-17</t>
        </is>
      </c>
      <c r="C53" t="inlineStr">
        <is>
          <t>Bar line</t>
        </is>
      </c>
      <c r="D53" t="inlineStr">
        <is>
          <t>BAR-OAT-42</t>
        </is>
      </c>
      <c r="E53" t="inlineStr">
        <is>
          <t>Rework</t>
        </is>
      </c>
      <c r="F53" t="inlineStr">
        <is>
          <t>BR0813-2</t>
        </is>
      </c>
      <c r="G53" t="n">
        <v>58.9</v>
      </c>
      <c r="H53" t="n">
        <v>47.376</v>
      </c>
      <c r="I53" t="n">
        <v>10.4</v>
      </c>
      <c r="J53" t="n">
        <v>0</v>
      </c>
      <c r="K53" t="n">
        <v>47.376</v>
      </c>
      <c r="L53" t="n">
        <v>-48.5</v>
      </c>
    </row>
    <row r="54">
      <c r="A54" t="inlineStr">
        <is>
          <t>BR0817-4</t>
        </is>
      </c>
      <c r="B54" t="inlineStr">
        <is>
          <t>2026-08-17</t>
        </is>
      </c>
      <c r="C54" t="inlineStr">
        <is>
          <t>Bar line</t>
        </is>
      </c>
      <c r="D54" t="inlineStr">
        <is>
          <t>BAR-OAT-42</t>
        </is>
      </c>
      <c r="E54" t="inlineStr">
        <is>
          <t>Rework</t>
        </is>
      </c>
      <c r="F54" t="inlineStr">
        <is>
          <t>BR0814-1</t>
        </is>
      </c>
      <c r="G54" t="n">
        <v>54.5</v>
      </c>
      <c r="H54" t="n">
        <v>43.344</v>
      </c>
      <c r="I54" t="n">
        <v>9.699999999999999</v>
      </c>
      <c r="J54" t="n">
        <v>0</v>
      </c>
      <c r="K54" t="n">
        <v>43.344</v>
      </c>
      <c r="L54" t="n">
        <v>-44.8</v>
      </c>
    </row>
    <row r="55">
      <c r="A55" t="inlineStr">
        <is>
          <t>BT0817-1</t>
        </is>
      </c>
      <c r="B55" t="inlineStr">
        <is>
          <t>2026-08-17</t>
        </is>
      </c>
      <c r="C55" t="inlineStr">
        <is>
          <t>Bites line</t>
        </is>
      </c>
      <c r="D55" t="inlineStr">
        <is>
          <t>BITE-DATE-12</t>
        </is>
      </c>
      <c r="E55" t="inlineStr">
        <is>
          <t>Production</t>
        </is>
      </c>
      <c r="G55" t="n">
        <v>203</v>
      </c>
      <c r="H55" t="n">
        <v>191.4</v>
      </c>
      <c r="I55" t="n">
        <v>9.199999999999999</v>
      </c>
      <c r="J55" t="n">
        <v>203</v>
      </c>
      <c r="K55" t="n">
        <v>191.4</v>
      </c>
      <c r="L55" t="n">
        <v>9.199999999999999</v>
      </c>
    </row>
    <row r="56">
      <c r="A56" t="inlineStr">
        <is>
          <t>GR0817-1</t>
        </is>
      </c>
      <c r="B56" t="inlineStr">
        <is>
          <t>2026-08-17</t>
        </is>
      </c>
      <c r="C56" t="inlineStr">
        <is>
          <t>Granola line</t>
        </is>
      </c>
      <c r="D56" t="inlineStr">
        <is>
          <t>GRN-HON-340</t>
        </is>
      </c>
      <c r="E56" t="inlineStr">
        <is>
          <t>Production</t>
        </is>
      </c>
      <c r="G56" t="n">
        <v>648</v>
      </c>
      <c r="H56" t="n">
        <v>586.1</v>
      </c>
      <c r="I56" t="n">
        <v>19.6</v>
      </c>
      <c r="J56" t="n">
        <v>648</v>
      </c>
      <c r="K56" t="n">
        <v>586.1</v>
      </c>
      <c r="L56" t="n">
        <v>19.6</v>
      </c>
    </row>
    <row r="57">
      <c r="A57" t="inlineStr">
        <is>
          <t>BR0818-1</t>
        </is>
      </c>
      <c r="B57" t="inlineStr">
        <is>
          <t>2026-08-18</t>
        </is>
      </c>
      <c r="C57" t="inlineStr">
        <is>
          <t>Bar line</t>
        </is>
      </c>
      <c r="D57" t="inlineStr">
        <is>
          <t>BAR-PB-42</t>
        </is>
      </c>
      <c r="E57" t="inlineStr">
        <is>
          <t>Production</t>
        </is>
      </c>
      <c r="G57" t="n">
        <v>1216</v>
      </c>
      <c r="H57" t="n">
        <v>1162.224</v>
      </c>
      <c r="I57" t="n">
        <v>36.6</v>
      </c>
      <c r="J57" t="n">
        <v>1216</v>
      </c>
      <c r="K57" t="n">
        <v>1162.224</v>
      </c>
      <c r="L57" t="n">
        <v>36.6</v>
      </c>
    </row>
    <row r="58">
      <c r="A58" t="inlineStr">
        <is>
          <t>BR0818-2</t>
        </is>
      </c>
      <c r="B58" t="inlineStr">
        <is>
          <t>2026-08-18</t>
        </is>
      </c>
      <c r="C58" t="inlineStr">
        <is>
          <t>Bar line</t>
        </is>
      </c>
      <c r="D58" t="inlineStr">
        <is>
          <t>BAR-CHO-45</t>
        </is>
      </c>
      <c r="E58" t="inlineStr">
        <is>
          <t>Production</t>
        </is>
      </c>
      <c r="G58" t="n">
        <v>999</v>
      </c>
      <c r="H58" t="n">
        <v>910.8</v>
      </c>
      <c r="I58" t="n">
        <v>70.2</v>
      </c>
      <c r="J58" t="n">
        <v>999</v>
      </c>
      <c r="K58" t="n">
        <v>910.8</v>
      </c>
      <c r="L58" t="n">
        <v>70.2</v>
      </c>
    </row>
    <row r="59">
      <c r="A59" t="inlineStr">
        <is>
          <t>BT0818-1</t>
        </is>
      </c>
      <c r="B59" t="inlineStr">
        <is>
          <t>2026-08-18</t>
        </is>
      </c>
      <c r="C59" t="inlineStr">
        <is>
          <t>Bites line</t>
        </is>
      </c>
      <c r="D59" t="inlineStr">
        <is>
          <t>BITE-DATE-12</t>
        </is>
      </c>
      <c r="E59" t="inlineStr">
        <is>
          <t>Production</t>
        </is>
      </c>
      <c r="G59" t="n">
        <v>255</v>
      </c>
      <c r="H59" t="n">
        <v>232.212</v>
      </c>
      <c r="I59" t="n">
        <v>19.52</v>
      </c>
      <c r="J59" t="n">
        <v>255</v>
      </c>
      <c r="K59" t="n">
        <v>232.212</v>
      </c>
      <c r="L59" t="n">
        <v>19.52</v>
      </c>
    </row>
    <row r="60">
      <c r="A60" t="inlineStr">
        <is>
          <t>BT0818-2</t>
        </is>
      </c>
      <c r="B60" t="inlineStr">
        <is>
          <t>2026-08-18</t>
        </is>
      </c>
      <c r="C60" t="inlineStr">
        <is>
          <t>Bites line</t>
        </is>
      </c>
      <c r="D60" t="inlineStr">
        <is>
          <t>BITE-DATE-12</t>
        </is>
      </c>
      <c r="E60" t="inlineStr">
        <is>
          <t>Production</t>
        </is>
      </c>
      <c r="G60" t="n">
        <v>193</v>
      </c>
      <c r="H60" t="n">
        <v>170.46</v>
      </c>
      <c r="I60" t="n">
        <v>17.04</v>
      </c>
      <c r="J60" t="n">
        <v>193</v>
      </c>
      <c r="K60" t="n">
        <v>170.46</v>
      </c>
      <c r="L60" t="n">
        <v>17.04</v>
      </c>
    </row>
    <row r="61">
      <c r="A61" t="inlineStr">
        <is>
          <t>GR0818-1</t>
        </is>
      </c>
      <c r="B61" t="inlineStr">
        <is>
          <t>2026-08-18</t>
        </is>
      </c>
      <c r="C61" t="inlineStr">
        <is>
          <t>Granola line</t>
        </is>
      </c>
      <c r="D61" t="inlineStr">
        <is>
          <t>GRN-CIN-500</t>
        </is>
      </c>
      <c r="E61" t="inlineStr">
        <is>
          <t>Production</t>
        </is>
      </c>
      <c r="G61" t="n">
        <v>765</v>
      </c>
      <c r="H61" t="n">
        <v>698</v>
      </c>
      <c r="I61" t="n">
        <v>19.9</v>
      </c>
      <c r="J61" t="n">
        <v>765</v>
      </c>
      <c r="K61" t="n">
        <v>698</v>
      </c>
      <c r="L61" t="n">
        <v>19.9</v>
      </c>
    </row>
    <row r="62">
      <c r="A62" t="inlineStr">
        <is>
          <t>GR0818-2</t>
        </is>
      </c>
      <c r="B62" t="inlineStr">
        <is>
          <t>2026-08-18</t>
        </is>
      </c>
      <c r="C62" t="inlineStr">
        <is>
          <t>Granola line</t>
        </is>
      </c>
      <c r="D62" t="inlineStr">
        <is>
          <t>GRN-CIN-500</t>
        </is>
      </c>
      <c r="E62" t="inlineStr">
        <is>
          <t>Production</t>
        </is>
      </c>
      <c r="G62" t="n">
        <v>612</v>
      </c>
      <c r="H62" t="n">
        <v>557</v>
      </c>
      <c r="I62" t="n">
        <v>30.2</v>
      </c>
      <c r="J62" t="n">
        <v>612</v>
      </c>
      <c r="K62" t="n">
        <v>557</v>
      </c>
      <c r="L62" t="n">
        <v>30.2</v>
      </c>
    </row>
    <row r="63">
      <c r="A63" t="inlineStr">
        <is>
          <t>BR0819-1</t>
        </is>
      </c>
      <c r="B63" t="inlineStr">
        <is>
          <t>2026-08-19</t>
        </is>
      </c>
      <c r="C63" t="inlineStr">
        <is>
          <t>Bar line</t>
        </is>
      </c>
      <c r="D63" t="inlineStr">
        <is>
          <t>BAR-CHO-45</t>
        </is>
      </c>
      <c r="E63" t="inlineStr">
        <is>
          <t>Production</t>
        </is>
      </c>
      <c r="G63" t="n">
        <v>931</v>
      </c>
      <c r="H63" t="n">
        <v>870.21</v>
      </c>
      <c r="I63" t="n">
        <v>53.6</v>
      </c>
      <c r="J63" t="n">
        <v>931</v>
      </c>
      <c r="K63" t="n">
        <v>870.21</v>
      </c>
      <c r="L63" t="n">
        <v>53.6</v>
      </c>
    </row>
    <row r="64">
      <c r="A64" t="inlineStr">
        <is>
          <t>BR0819-2</t>
        </is>
      </c>
      <c r="B64" t="inlineStr">
        <is>
          <t>2026-08-19</t>
        </is>
      </c>
      <c r="C64" t="inlineStr">
        <is>
          <t>Bar line</t>
        </is>
      </c>
      <c r="D64" t="inlineStr">
        <is>
          <t>BAR-PB-42</t>
        </is>
      </c>
      <c r="E64" t="inlineStr">
        <is>
          <t>Production</t>
        </is>
      </c>
      <c r="G64" t="n">
        <v>865</v>
      </c>
      <c r="H64" t="n">
        <v>815.304</v>
      </c>
      <c r="I64" t="n">
        <v>29</v>
      </c>
      <c r="J64" t="n">
        <v>865</v>
      </c>
      <c r="K64" t="n">
        <v>815.304</v>
      </c>
      <c r="L64" t="n">
        <v>29</v>
      </c>
    </row>
    <row r="65">
      <c r="A65" t="inlineStr">
        <is>
          <t>BT0819-1</t>
        </is>
      </c>
      <c r="B65" t="inlineStr">
        <is>
          <t>2026-08-19</t>
        </is>
      </c>
      <c r="C65" t="inlineStr">
        <is>
          <t>Bites line</t>
        </is>
      </c>
      <c r="D65" t="inlineStr">
        <is>
          <t>BITE-COCO-14</t>
        </is>
      </c>
      <c r="E65" t="inlineStr">
        <is>
          <t>Production</t>
        </is>
      </c>
      <c r="G65" t="n">
        <v>160</v>
      </c>
      <c r="H65" t="n">
        <v>151.34</v>
      </c>
      <c r="I65" t="n">
        <v>6.01</v>
      </c>
      <c r="J65" t="n">
        <v>160</v>
      </c>
      <c r="K65" t="n">
        <v>151.34</v>
      </c>
      <c r="L65" t="n">
        <v>6.01</v>
      </c>
    </row>
    <row r="66">
      <c r="A66" t="inlineStr">
        <is>
          <t>GR0819-1</t>
        </is>
      </c>
      <c r="B66" t="inlineStr">
        <is>
          <t>2026-08-19</t>
        </is>
      </c>
      <c r="C66" t="inlineStr">
        <is>
          <t>Granola line</t>
        </is>
      </c>
      <c r="D66" t="inlineStr">
        <is>
          <t>GRN-CIN-500</t>
        </is>
      </c>
      <c r="E66" t="inlineStr">
        <is>
          <t>Production</t>
        </is>
      </c>
      <c r="G66" t="n">
        <v>735</v>
      </c>
      <c r="H66" t="n">
        <v>686</v>
      </c>
      <c r="I66" t="n">
        <v>12.6</v>
      </c>
      <c r="J66" t="n">
        <v>735</v>
      </c>
      <c r="K66" t="n">
        <v>686</v>
      </c>
      <c r="L66" t="n">
        <v>12.6</v>
      </c>
    </row>
    <row r="67">
      <c r="A67" t="inlineStr">
        <is>
          <t>GR0819-2</t>
        </is>
      </c>
      <c r="B67" t="inlineStr">
        <is>
          <t>2026-08-19</t>
        </is>
      </c>
      <c r="C67" t="inlineStr">
        <is>
          <t>Granola line</t>
        </is>
      </c>
      <c r="D67" t="inlineStr">
        <is>
          <t>GRN-CIN-500</t>
        </is>
      </c>
      <c r="E67" t="inlineStr">
        <is>
          <t>Production</t>
        </is>
      </c>
      <c r="G67" t="n">
        <v>633</v>
      </c>
      <c r="H67" t="n">
        <v>580.4</v>
      </c>
      <c r="I67" t="n">
        <v>23.2</v>
      </c>
      <c r="J67" t="n">
        <v>633</v>
      </c>
      <c r="K67" t="n">
        <v>580.4</v>
      </c>
      <c r="L67" t="n">
        <v>23.2</v>
      </c>
    </row>
    <row r="68">
      <c r="A68" t="inlineStr">
        <is>
          <t>BR0820-1</t>
        </is>
      </c>
      <c r="B68" t="inlineStr">
        <is>
          <t>2026-08-20</t>
        </is>
      </c>
      <c r="C68" t="inlineStr">
        <is>
          <t>Bar line</t>
        </is>
      </c>
      <c r="D68" t="inlineStr">
        <is>
          <t>BAR-OAT-42</t>
        </is>
      </c>
      <c r="E68" t="inlineStr">
        <is>
          <t>Production</t>
        </is>
      </c>
      <c r="G68" t="n">
        <v>1189</v>
      </c>
      <c r="H68" t="n">
        <v>1123.836</v>
      </c>
      <c r="I68" t="n">
        <v>51.6</v>
      </c>
      <c r="J68" t="n">
        <v>1189</v>
      </c>
      <c r="K68" t="n">
        <v>1123.836</v>
      </c>
      <c r="L68" t="n">
        <v>51.6</v>
      </c>
    </row>
    <row r="69">
      <c r="A69" t="inlineStr">
        <is>
          <t>BR0820-2</t>
        </is>
      </c>
      <c r="B69" t="inlineStr">
        <is>
          <t>2026-08-20</t>
        </is>
      </c>
      <c r="C69" t="inlineStr">
        <is>
          <t>Bar line</t>
        </is>
      </c>
      <c r="D69" t="inlineStr">
        <is>
          <t>BAR-OAT-42</t>
        </is>
      </c>
      <c r="E69" t="inlineStr">
        <is>
          <t>Production</t>
        </is>
      </c>
      <c r="G69" t="n">
        <v>1005</v>
      </c>
      <c r="H69" t="n">
        <v>958.6079999999999</v>
      </c>
      <c r="I69" t="n">
        <v>38.2</v>
      </c>
      <c r="J69" t="n">
        <v>1005</v>
      </c>
      <c r="K69" t="n">
        <v>958.6079999999999</v>
      </c>
      <c r="L69" t="n">
        <v>38.2</v>
      </c>
    </row>
    <row r="70">
      <c r="A70" t="inlineStr">
        <is>
          <t>BT0820-1</t>
        </is>
      </c>
      <c r="B70" t="inlineStr">
        <is>
          <t>2026-08-20</t>
        </is>
      </c>
      <c r="C70" t="inlineStr">
        <is>
          <t>Bites line</t>
        </is>
      </c>
      <c r="D70" t="inlineStr">
        <is>
          <t>BITE-DATE-12</t>
        </is>
      </c>
      <c r="E70" t="inlineStr">
        <is>
          <t>Production</t>
        </is>
      </c>
      <c r="G70" t="n">
        <v>192</v>
      </c>
      <c r="H70" t="n">
        <v>171.792</v>
      </c>
      <c r="I70" t="n">
        <v>16.24</v>
      </c>
      <c r="J70" t="n">
        <v>192</v>
      </c>
      <c r="K70" t="n">
        <v>171.792</v>
      </c>
      <c r="L70" t="n">
        <v>16.24</v>
      </c>
    </row>
    <row r="71">
      <c r="A71" t="inlineStr">
        <is>
          <t>GR0820-1</t>
        </is>
      </c>
      <c r="B71" t="inlineStr">
        <is>
          <t>2026-08-20</t>
        </is>
      </c>
      <c r="C71" t="inlineStr">
        <is>
          <t>Granola line</t>
        </is>
      </c>
      <c r="D71" t="inlineStr">
        <is>
          <t>GRN-CIN-500</t>
        </is>
      </c>
      <c r="E71" t="inlineStr">
        <is>
          <t>Production</t>
        </is>
      </c>
      <c r="G71" t="n">
        <v>799</v>
      </c>
      <c r="H71" t="n">
        <v>733.5</v>
      </c>
      <c r="I71" t="n">
        <v>27.1</v>
      </c>
      <c r="J71" t="n">
        <v>799</v>
      </c>
      <c r="K71" t="n">
        <v>733.5</v>
      </c>
      <c r="L71" t="n">
        <v>27.1</v>
      </c>
    </row>
    <row r="72">
      <c r="A72" t="inlineStr">
        <is>
          <t>GR0820-2</t>
        </is>
      </c>
      <c r="B72" t="inlineStr">
        <is>
          <t>2026-08-20</t>
        </is>
      </c>
      <c r="C72" t="inlineStr">
        <is>
          <t>Granola line</t>
        </is>
      </c>
      <c r="D72" t="inlineStr">
        <is>
          <t>GRN-HON-340</t>
        </is>
      </c>
      <c r="E72" t="inlineStr">
        <is>
          <t>Production</t>
        </is>
      </c>
      <c r="G72" t="n">
        <v>708</v>
      </c>
      <c r="H72" t="n">
        <v>649.4</v>
      </c>
      <c r="I72" t="n">
        <v>12.8</v>
      </c>
      <c r="J72" t="n">
        <v>708</v>
      </c>
      <c r="K72" t="n">
        <v>649.4</v>
      </c>
      <c r="L72" t="n">
        <v>12.8</v>
      </c>
    </row>
    <row r="73">
      <c r="A73" t="inlineStr">
        <is>
          <t>BR0821-1</t>
        </is>
      </c>
      <c r="B73" t="inlineStr">
        <is>
          <t>2026-08-21</t>
        </is>
      </c>
      <c r="C73" t="inlineStr">
        <is>
          <t>Bar line</t>
        </is>
      </c>
      <c r="D73" t="inlineStr">
        <is>
          <t>BAR-CHO-45</t>
        </is>
      </c>
      <c r="E73" t="inlineStr">
        <is>
          <t>Production</t>
        </is>
      </c>
      <c r="G73" t="n">
        <v>973</v>
      </c>
      <c r="H73" t="n">
        <v>901.8</v>
      </c>
      <c r="I73" t="n">
        <v>51.3</v>
      </c>
      <c r="J73" t="n">
        <v>973</v>
      </c>
      <c r="K73" t="n">
        <v>901.8</v>
      </c>
      <c r="L73" t="n">
        <v>51.3</v>
      </c>
    </row>
    <row r="74">
      <c r="A74" t="inlineStr">
        <is>
          <t>BT0821-1</t>
        </is>
      </c>
      <c r="B74" t="inlineStr">
        <is>
          <t>2026-08-21</t>
        </is>
      </c>
      <c r="C74" t="inlineStr">
        <is>
          <t>Bites line</t>
        </is>
      </c>
      <c r="D74" t="inlineStr">
        <is>
          <t>BITE-DATE-12</t>
        </is>
      </c>
      <c r="E74" t="inlineStr">
        <is>
          <t>Production</t>
        </is>
      </c>
      <c r="G74" t="n">
        <v>185</v>
      </c>
      <c r="H74" t="n">
        <v>164.868</v>
      </c>
      <c r="I74" t="n">
        <v>16.2</v>
      </c>
      <c r="J74" t="n">
        <v>185</v>
      </c>
      <c r="K74" t="n">
        <v>164.868</v>
      </c>
      <c r="L74" t="n">
        <v>16.2</v>
      </c>
    </row>
    <row r="75">
      <c r="A75" t="inlineStr">
        <is>
          <t>GR0821-1</t>
        </is>
      </c>
      <c r="B75" t="inlineStr">
        <is>
          <t>2026-08-21</t>
        </is>
      </c>
      <c r="C75" t="inlineStr">
        <is>
          <t>Granola line</t>
        </is>
      </c>
      <c r="D75" t="inlineStr">
        <is>
          <t>GRN-CIN-500</t>
        </is>
      </c>
      <c r="E75" t="inlineStr">
        <is>
          <t>Production</t>
        </is>
      </c>
      <c r="G75" t="n">
        <v>882</v>
      </c>
      <c r="H75" t="n">
        <v>813.5</v>
      </c>
      <c r="I75" t="n">
        <v>22.7</v>
      </c>
      <c r="J75" t="n">
        <v>882</v>
      </c>
      <c r="K75" t="n">
        <v>813.5</v>
      </c>
      <c r="L75" t="n">
        <v>22.7</v>
      </c>
    </row>
    <row r="76">
      <c r="A76" t="inlineStr">
        <is>
          <t>BR0824-1</t>
        </is>
      </c>
      <c r="B76" t="inlineStr">
        <is>
          <t>2026-08-24</t>
        </is>
      </c>
      <c r="C76" t="inlineStr">
        <is>
          <t>Bar line</t>
        </is>
      </c>
      <c r="D76" t="inlineStr">
        <is>
          <t>BAR-OAT-42</t>
        </is>
      </c>
      <c r="E76" t="inlineStr">
        <is>
          <t>Production</t>
        </is>
      </c>
      <c r="G76" t="n">
        <v>861</v>
      </c>
      <c r="H76" t="n">
        <v>805.3920000000001</v>
      </c>
      <c r="I76" t="n">
        <v>44</v>
      </c>
      <c r="J76" t="n">
        <v>861</v>
      </c>
      <c r="K76" t="n">
        <v>805.3920000000001</v>
      </c>
      <c r="L76" t="n">
        <v>44</v>
      </c>
    </row>
    <row r="77">
      <c r="A77" t="inlineStr">
        <is>
          <t>BR0824-2</t>
        </is>
      </c>
      <c r="B77" t="inlineStr">
        <is>
          <t>2026-08-24</t>
        </is>
      </c>
      <c r="C77" t="inlineStr">
        <is>
          <t>Bar line</t>
        </is>
      </c>
      <c r="D77" t="inlineStr">
        <is>
          <t>BAR-OAT-42</t>
        </is>
      </c>
      <c r="E77" t="inlineStr">
        <is>
          <t>Production</t>
        </is>
      </c>
      <c r="G77" t="n">
        <v>964</v>
      </c>
      <c r="H77" t="n">
        <v>868.812</v>
      </c>
      <c r="I77" t="n">
        <v>76</v>
      </c>
      <c r="J77" t="n">
        <v>964</v>
      </c>
      <c r="K77" t="n">
        <v>868.812</v>
      </c>
      <c r="L77" t="n">
        <v>76</v>
      </c>
    </row>
    <row r="78">
      <c r="A78" t="inlineStr">
        <is>
          <t>BT0824-1</t>
        </is>
      </c>
      <c r="B78" t="inlineStr">
        <is>
          <t>2026-08-24</t>
        </is>
      </c>
      <c r="C78" t="inlineStr">
        <is>
          <t>Bites line</t>
        </is>
      </c>
      <c r="D78" t="inlineStr">
        <is>
          <t>BITE-DATE-12</t>
        </is>
      </c>
      <c r="E78" t="inlineStr">
        <is>
          <t>Production</t>
        </is>
      </c>
      <c r="G78" t="n">
        <v>144</v>
      </c>
      <c r="H78" t="n">
        <v>133.344</v>
      </c>
      <c r="I78" t="n">
        <v>6.41</v>
      </c>
      <c r="J78" t="n">
        <v>144</v>
      </c>
      <c r="K78" t="n">
        <v>133.344</v>
      </c>
      <c r="L78" t="n">
        <v>6.41</v>
      </c>
    </row>
    <row r="79">
      <c r="A79" t="inlineStr">
        <is>
          <t>BT0824-2</t>
        </is>
      </c>
      <c r="B79" t="inlineStr">
        <is>
          <t>2026-08-24</t>
        </is>
      </c>
      <c r="C79" t="inlineStr">
        <is>
          <t>Bites line</t>
        </is>
      </c>
      <c r="D79" t="inlineStr">
        <is>
          <t>BITE-DATE-12</t>
        </is>
      </c>
      <c r="E79" t="inlineStr">
        <is>
          <t>Production</t>
        </is>
      </c>
      <c r="G79" t="n">
        <v>174</v>
      </c>
      <c r="H79" t="n">
        <v>162.3</v>
      </c>
      <c r="I79" t="n">
        <v>8.07</v>
      </c>
      <c r="J79" t="n">
        <v>174</v>
      </c>
      <c r="K79" t="n">
        <v>162.3</v>
      </c>
      <c r="L79" t="n">
        <v>8.07</v>
      </c>
    </row>
    <row r="80">
      <c r="A80" t="inlineStr">
        <is>
          <t>BT0824-3</t>
        </is>
      </c>
      <c r="B80" t="inlineStr">
        <is>
          <t>2026-08-24</t>
        </is>
      </c>
      <c r="C80" t="inlineStr">
        <is>
          <t>Bites line</t>
        </is>
      </c>
      <c r="D80" t="inlineStr">
        <is>
          <t>BITE-DATE-12</t>
        </is>
      </c>
      <c r="E80" t="inlineStr">
        <is>
          <t>Rework</t>
        </is>
      </c>
      <c r="F80" t="inlineStr">
        <is>
          <t>BT0820-1</t>
        </is>
      </c>
      <c r="G80" t="n">
        <v>10.8</v>
      </c>
      <c r="H80" t="n">
        <v>8.916</v>
      </c>
      <c r="I80" t="n">
        <v>1.77</v>
      </c>
      <c r="J80" t="n">
        <v>0</v>
      </c>
      <c r="K80" t="n">
        <v>8.916</v>
      </c>
      <c r="L80" t="n">
        <v>-9.029999999999999</v>
      </c>
    </row>
    <row r="81">
      <c r="A81" t="inlineStr">
        <is>
          <t>GR0824-1</t>
        </is>
      </c>
      <c r="B81" t="inlineStr">
        <is>
          <t>2026-08-24</t>
        </is>
      </c>
      <c r="C81" t="inlineStr">
        <is>
          <t>Granola line</t>
        </is>
      </c>
      <c r="D81" t="inlineStr">
        <is>
          <t>GRN-CIN-500</t>
        </is>
      </c>
      <c r="E81" t="inlineStr">
        <is>
          <t>Production</t>
        </is>
      </c>
      <c r="G81" t="n">
        <v>674</v>
      </c>
      <c r="H81" t="n">
        <v>620.5</v>
      </c>
      <c r="I81" t="n">
        <v>24.5</v>
      </c>
      <c r="J81" t="n">
        <v>674</v>
      </c>
      <c r="K81" t="n">
        <v>620.5</v>
      </c>
      <c r="L81" t="n">
        <v>24.5</v>
      </c>
    </row>
    <row r="82">
      <c r="A82" t="inlineStr">
        <is>
          <t>BR0825-1</t>
        </is>
      </c>
      <c r="B82" t="inlineStr">
        <is>
          <t>2026-08-25</t>
        </is>
      </c>
      <c r="C82" t="inlineStr">
        <is>
          <t>Bar line</t>
        </is>
      </c>
      <c r="D82" t="inlineStr">
        <is>
          <t>BAR-OAT-42</t>
        </is>
      </c>
      <c r="E82" t="inlineStr">
        <is>
          <t>Production</t>
        </is>
      </c>
      <c r="G82" t="n">
        <v>951</v>
      </c>
      <c r="H82" t="n">
        <v>907.872</v>
      </c>
      <c r="I82" t="n">
        <v>30.2</v>
      </c>
      <c r="J82" t="n">
        <v>951</v>
      </c>
      <c r="K82" t="n">
        <v>907.872</v>
      </c>
      <c r="L82" t="n">
        <v>30.2</v>
      </c>
    </row>
    <row r="83">
      <c r="A83" t="inlineStr">
        <is>
          <t>BR0825-2</t>
        </is>
      </c>
      <c r="B83" t="inlineStr">
        <is>
          <t>2026-08-25</t>
        </is>
      </c>
      <c r="C83" t="inlineStr">
        <is>
          <t>Bar line</t>
        </is>
      </c>
      <c r="D83" t="inlineStr">
        <is>
          <t>BAR-PB-42</t>
        </is>
      </c>
      <c r="E83" t="inlineStr">
        <is>
          <t>Production</t>
        </is>
      </c>
      <c r="G83" t="n">
        <v>1167</v>
      </c>
      <c r="H83" t="n">
        <v>1077.552</v>
      </c>
      <c r="I83" t="n">
        <v>66.8</v>
      </c>
      <c r="J83" t="n">
        <v>1167</v>
      </c>
      <c r="K83" t="n">
        <v>1077.552</v>
      </c>
      <c r="L83" t="n">
        <v>66.8</v>
      </c>
    </row>
    <row r="84">
      <c r="A84" t="inlineStr">
        <is>
          <t>BT0825-1</t>
        </is>
      </c>
      <c r="B84" t="inlineStr">
        <is>
          <t>2026-08-25</t>
        </is>
      </c>
      <c r="C84" t="inlineStr">
        <is>
          <t>Bites line</t>
        </is>
      </c>
      <c r="D84" t="inlineStr">
        <is>
          <t>BITE-COCO-14</t>
        </is>
      </c>
      <c r="E84" t="inlineStr">
        <is>
          <t>Production</t>
        </is>
      </c>
      <c r="G84" t="n">
        <v>235</v>
      </c>
      <c r="H84" t="n">
        <v>208.068</v>
      </c>
      <c r="I84" t="n">
        <v>20.78</v>
      </c>
      <c r="J84" t="n">
        <v>235</v>
      </c>
      <c r="K84" t="n">
        <v>208.068</v>
      </c>
      <c r="L84" t="n">
        <v>20.78</v>
      </c>
    </row>
    <row r="85">
      <c r="A85" t="inlineStr">
        <is>
          <t>GR0825-1</t>
        </is>
      </c>
      <c r="B85" t="inlineStr">
        <is>
          <t>2026-08-25</t>
        </is>
      </c>
      <c r="C85" t="inlineStr">
        <is>
          <t>Granola line</t>
        </is>
      </c>
      <c r="D85" t="inlineStr">
        <is>
          <t>GRN-HON-340</t>
        </is>
      </c>
      <c r="E85" t="inlineStr">
        <is>
          <t>Production</t>
        </is>
      </c>
      <c r="G85" t="n">
        <v>666</v>
      </c>
      <c r="H85" t="n">
        <v>603.84</v>
      </c>
      <c r="I85" t="n">
        <v>19.4</v>
      </c>
      <c r="J85" t="n">
        <v>666</v>
      </c>
      <c r="K85" t="n">
        <v>603.84</v>
      </c>
      <c r="L85" t="n">
        <v>19.4</v>
      </c>
    </row>
    <row r="86">
      <c r="A86" t="inlineStr">
        <is>
          <t>BR0826-1</t>
        </is>
      </c>
      <c r="B86" t="inlineStr">
        <is>
          <t>2026-08-26</t>
        </is>
      </c>
      <c r="C86" t="inlineStr">
        <is>
          <t>Bar line</t>
        </is>
      </c>
      <c r="D86" t="inlineStr">
        <is>
          <t>BAR-CHO-45</t>
        </is>
      </c>
      <c r="E86" t="inlineStr">
        <is>
          <t>Production</t>
        </is>
      </c>
      <c r="G86" t="n">
        <v>1082</v>
      </c>
      <c r="H86" t="n">
        <v>1002.6</v>
      </c>
      <c r="I86" t="n">
        <v>67.5</v>
      </c>
      <c r="J86" t="n">
        <v>1082</v>
      </c>
      <c r="K86" t="n">
        <v>1002.6</v>
      </c>
      <c r="L86" t="n">
        <v>67.5</v>
      </c>
    </row>
    <row r="87">
      <c r="A87" t="inlineStr">
        <is>
          <t>BR0826-2</t>
        </is>
      </c>
      <c r="B87" t="inlineStr">
        <is>
          <t>2026-08-26</t>
        </is>
      </c>
      <c r="C87" t="inlineStr">
        <is>
          <t>Bar line</t>
        </is>
      </c>
      <c r="D87" t="inlineStr">
        <is>
          <t>BAR-CHO-45</t>
        </is>
      </c>
      <c r="E87" t="inlineStr">
        <is>
          <t>Production</t>
        </is>
      </c>
      <c r="G87" t="n">
        <v>1212</v>
      </c>
      <c r="H87" t="n">
        <v>1127.295</v>
      </c>
      <c r="I87" t="n">
        <v>62.2</v>
      </c>
      <c r="J87" t="n">
        <v>1212</v>
      </c>
      <c r="K87" t="n">
        <v>1127.295</v>
      </c>
      <c r="L87" t="n">
        <v>62.2</v>
      </c>
    </row>
    <row r="88">
      <c r="A88" t="inlineStr">
        <is>
          <t>BR0826-3</t>
        </is>
      </c>
      <c r="B88" t="inlineStr">
        <is>
          <t>2026-08-26</t>
        </is>
      </c>
      <c r="C88" t="inlineStr">
        <is>
          <t>Bar line</t>
        </is>
      </c>
      <c r="D88" t="inlineStr">
        <is>
          <t>BAR-OAT-42</t>
        </is>
      </c>
      <c r="E88" t="inlineStr">
        <is>
          <t>Rework</t>
        </is>
      </c>
      <c r="F88" t="inlineStr">
        <is>
          <t>BR0824-2</t>
        </is>
      </c>
      <c r="G88" t="n">
        <v>56.3</v>
      </c>
      <c r="H88" t="n">
        <v>43.344</v>
      </c>
      <c r="I88" t="n">
        <v>11.7</v>
      </c>
      <c r="J88" t="n">
        <v>0</v>
      </c>
      <c r="K88" t="n">
        <v>43.344</v>
      </c>
      <c r="L88" t="n">
        <v>-44.6</v>
      </c>
    </row>
    <row r="89">
      <c r="A89" t="inlineStr">
        <is>
          <t>BT0826-1</t>
        </is>
      </c>
      <c r="B89" t="inlineStr">
        <is>
          <t>2026-08-26</t>
        </is>
      </c>
      <c r="C89" t="inlineStr">
        <is>
          <t>Bites line</t>
        </is>
      </c>
      <c r="D89" t="inlineStr">
        <is>
          <t>BITE-COCO-14</t>
        </is>
      </c>
      <c r="E89" t="inlineStr">
        <is>
          <t>Production</t>
        </is>
      </c>
      <c r="G89" t="n">
        <v>243</v>
      </c>
      <c r="H89" t="n">
        <v>221.214</v>
      </c>
      <c r="I89" t="n">
        <v>15.61</v>
      </c>
      <c r="J89" t="n">
        <v>243</v>
      </c>
      <c r="K89" t="n">
        <v>221.214</v>
      </c>
      <c r="L89" t="n">
        <v>15.61</v>
      </c>
    </row>
    <row r="90">
      <c r="A90" t="inlineStr">
        <is>
          <t>GR0826-1</t>
        </is>
      </c>
      <c r="B90" t="inlineStr">
        <is>
          <t>2026-08-26</t>
        </is>
      </c>
      <c r="C90" t="inlineStr">
        <is>
          <t>Granola line</t>
        </is>
      </c>
      <c r="D90" t="inlineStr">
        <is>
          <t>GRN-HON-340</t>
        </is>
      </c>
      <c r="E90" t="inlineStr">
        <is>
          <t>Production</t>
        </is>
      </c>
      <c r="G90" t="n">
        <v>606</v>
      </c>
      <c r="H90" t="n">
        <v>556.24</v>
      </c>
      <c r="I90" t="n">
        <v>25</v>
      </c>
      <c r="J90" t="n">
        <v>606</v>
      </c>
      <c r="K90" t="n">
        <v>556.24</v>
      </c>
      <c r="L90" t="n">
        <v>25</v>
      </c>
    </row>
    <row r="91">
      <c r="A91" t="inlineStr">
        <is>
          <t>BR0827-1</t>
        </is>
      </c>
      <c r="B91" t="inlineStr">
        <is>
          <t>2026-08-27</t>
        </is>
      </c>
      <c r="C91" t="inlineStr">
        <is>
          <t>Bar line</t>
        </is>
      </c>
      <c r="D91" t="inlineStr">
        <is>
          <t>BAR-OAT-42</t>
        </is>
      </c>
      <c r="E91" t="inlineStr">
        <is>
          <t>Production</t>
        </is>
      </c>
      <c r="G91" t="n">
        <v>1244</v>
      </c>
      <c r="H91" t="n">
        <v>1138.032</v>
      </c>
      <c r="I91" t="n">
        <v>90.7</v>
      </c>
      <c r="J91" t="n">
        <v>1244</v>
      </c>
      <c r="K91" t="n">
        <v>1138.032</v>
      </c>
      <c r="L91" t="n">
        <v>90.7</v>
      </c>
    </row>
    <row r="92">
      <c r="A92" t="inlineStr">
        <is>
          <t>BT0827-1</t>
        </is>
      </c>
      <c r="B92" t="inlineStr">
        <is>
          <t>2026-08-27</t>
        </is>
      </c>
      <c r="C92" t="inlineStr">
        <is>
          <t>Bites line</t>
        </is>
      </c>
      <c r="D92" t="inlineStr">
        <is>
          <t>BITE-DATE-12</t>
        </is>
      </c>
      <c r="E92" t="inlineStr">
        <is>
          <t>Production</t>
        </is>
      </c>
      <c r="G92" t="n">
        <v>248</v>
      </c>
      <c r="H92" t="n">
        <v>229.488</v>
      </c>
      <c r="I92" t="n">
        <v>15.91</v>
      </c>
      <c r="J92" t="n">
        <v>248</v>
      </c>
      <c r="K92" t="n">
        <v>229.488</v>
      </c>
      <c r="L92" t="n">
        <v>15.91</v>
      </c>
    </row>
    <row r="93">
      <c r="A93" t="inlineStr">
        <is>
          <t>GR0827-1</t>
        </is>
      </c>
      <c r="B93" t="inlineStr">
        <is>
          <t>2026-08-27</t>
        </is>
      </c>
      <c r="C93" t="inlineStr">
        <is>
          <t>Granola line</t>
        </is>
      </c>
      <c r="D93" t="inlineStr">
        <is>
          <t>GRN-HON-340</t>
        </is>
      </c>
      <c r="E93" t="inlineStr">
        <is>
          <t>Production</t>
        </is>
      </c>
      <c r="G93" t="n">
        <v>630</v>
      </c>
      <c r="H93" t="n">
        <v>573.24</v>
      </c>
      <c r="I93" t="n">
        <v>16.7</v>
      </c>
      <c r="J93" t="n">
        <v>630</v>
      </c>
      <c r="K93" t="n">
        <v>573.24</v>
      </c>
      <c r="L93" t="n">
        <v>16.7</v>
      </c>
    </row>
    <row r="94">
      <c r="A94" t="inlineStr">
        <is>
          <t>BR0828-1</t>
        </is>
      </c>
      <c r="B94" t="inlineStr">
        <is>
          <t>2026-08-28</t>
        </is>
      </c>
      <c r="C94" t="inlineStr">
        <is>
          <t>Bar line</t>
        </is>
      </c>
      <c r="D94" t="inlineStr">
        <is>
          <t>BAR-CHO-45</t>
        </is>
      </c>
      <c r="E94" t="inlineStr">
        <is>
          <t>Production</t>
        </is>
      </c>
      <c r="G94" t="n">
        <v>921</v>
      </c>
      <c r="H94" t="n">
        <v>871.2</v>
      </c>
      <c r="I94" t="n">
        <v>33.6</v>
      </c>
      <c r="J94" t="n">
        <v>921</v>
      </c>
      <c r="K94" t="n">
        <v>871.2</v>
      </c>
      <c r="L94" t="n">
        <v>33.6</v>
      </c>
    </row>
    <row r="95">
      <c r="A95" t="inlineStr">
        <is>
          <t>BR0828-2</t>
        </is>
      </c>
      <c r="B95" t="inlineStr">
        <is>
          <t>2026-08-28</t>
        </is>
      </c>
      <c r="C95" t="inlineStr">
        <is>
          <t>Bar line</t>
        </is>
      </c>
      <c r="D95" t="inlineStr">
        <is>
          <t>BAR-OAT-42</t>
        </is>
      </c>
      <c r="E95" t="inlineStr">
        <is>
          <t>Production</t>
        </is>
      </c>
      <c r="G95" t="n">
        <v>1116</v>
      </c>
      <c r="H95" t="n">
        <v>1020.096</v>
      </c>
      <c r="I95" t="n">
        <v>83.7</v>
      </c>
      <c r="J95" t="n">
        <v>1116</v>
      </c>
      <c r="K95" t="n">
        <v>1020.096</v>
      </c>
      <c r="L95" t="n">
        <v>83.7</v>
      </c>
    </row>
    <row r="96">
      <c r="A96" t="inlineStr">
        <is>
          <t>BT0828-1</t>
        </is>
      </c>
      <c r="B96" t="inlineStr">
        <is>
          <t>2026-08-28</t>
        </is>
      </c>
      <c r="C96" t="inlineStr">
        <is>
          <t>Bites line</t>
        </is>
      </c>
      <c r="D96" t="inlineStr">
        <is>
          <t>BITE-DATE-12</t>
        </is>
      </c>
      <c r="E96" t="inlineStr">
        <is>
          <t>Production</t>
        </is>
      </c>
      <c r="G96" t="n">
        <v>149</v>
      </c>
      <c r="H96" t="n">
        <v>134.724</v>
      </c>
      <c r="I96" t="n">
        <v>11.67</v>
      </c>
      <c r="J96" t="n">
        <v>149</v>
      </c>
      <c r="K96" t="n">
        <v>134.724</v>
      </c>
      <c r="L96" t="n">
        <v>11.67</v>
      </c>
    </row>
    <row r="97">
      <c r="A97" t="inlineStr">
        <is>
          <t>BT0828-2</t>
        </is>
      </c>
      <c r="B97" t="inlineStr">
        <is>
          <t>2026-08-28</t>
        </is>
      </c>
      <c r="C97" t="inlineStr">
        <is>
          <t>Bites line</t>
        </is>
      </c>
      <c r="D97" t="inlineStr">
        <is>
          <t>BITE-COCO-14</t>
        </is>
      </c>
      <c r="E97" t="inlineStr">
        <is>
          <t>Rework</t>
        </is>
      </c>
      <c r="F97" t="inlineStr">
        <is>
          <t>BT0825-1</t>
        </is>
      </c>
      <c r="G97" t="n">
        <v>15.8</v>
      </c>
      <c r="H97" t="n">
        <v>11.76</v>
      </c>
      <c r="I97" t="n">
        <v>3.87</v>
      </c>
      <c r="J97" t="n">
        <v>0</v>
      </c>
      <c r="K97" t="n">
        <v>11.76</v>
      </c>
      <c r="L97" t="n">
        <v>-11.93</v>
      </c>
    </row>
    <row r="98">
      <c r="A98" t="inlineStr">
        <is>
          <t>GR0828-1</t>
        </is>
      </c>
      <c r="B98" t="inlineStr">
        <is>
          <t>2026-08-28</t>
        </is>
      </c>
      <c r="C98" t="inlineStr">
        <is>
          <t>Granola line</t>
        </is>
      </c>
      <c r="D98" t="inlineStr">
        <is>
          <t>GRN-HON-340</t>
        </is>
      </c>
      <c r="E98" t="inlineStr">
        <is>
          <t>Production</t>
        </is>
      </c>
      <c r="G98" t="n">
        <v>654</v>
      </c>
      <c r="H98" t="n">
        <v>611.9</v>
      </c>
      <c r="I98" t="n">
        <v>13</v>
      </c>
      <c r="J98" t="n">
        <v>654</v>
      </c>
      <c r="K98" t="n">
        <v>611.9</v>
      </c>
      <c r="L98" t="n">
        <v>13</v>
      </c>
    </row>
    <row r="99">
      <c r="A99" t="inlineStr">
        <is>
          <t>GR0828-2</t>
        </is>
      </c>
      <c r="B99" t="inlineStr">
        <is>
          <t>2026-08-28</t>
        </is>
      </c>
      <c r="C99" t="inlineStr">
        <is>
          <t>Granola line</t>
        </is>
      </c>
      <c r="D99" t="inlineStr">
        <is>
          <t>GRN-CIN-500</t>
        </is>
      </c>
      <c r="E99" t="inlineStr">
        <is>
          <t>Production</t>
        </is>
      </c>
      <c r="G99" t="n">
        <v>632</v>
      </c>
      <c r="H99" t="n">
        <v>567</v>
      </c>
      <c r="I99" t="n">
        <v>29.8</v>
      </c>
      <c r="J99" t="n">
        <v>632</v>
      </c>
      <c r="K99" t="n">
        <v>567</v>
      </c>
      <c r="L99" t="n">
        <v>29.8</v>
      </c>
    </row>
    <row r="100">
      <c r="A100" t="inlineStr">
        <is>
          <t>GR0828-3</t>
        </is>
      </c>
      <c r="B100" t="inlineStr">
        <is>
          <t>2026-08-28</t>
        </is>
      </c>
      <c r="C100" t="inlineStr">
        <is>
          <t>Granola line</t>
        </is>
      </c>
      <c r="D100" t="inlineStr">
        <is>
          <t>GRN-HON-340</t>
        </is>
      </c>
      <c r="E100" t="inlineStr">
        <is>
          <t>Rework</t>
        </is>
      </c>
      <c r="F100" t="inlineStr">
        <is>
          <t>GR0826-1</t>
        </is>
      </c>
      <c r="G100" t="n">
        <v>18.4</v>
      </c>
      <c r="H100" t="n">
        <v>14.62</v>
      </c>
      <c r="I100" t="n">
        <v>3.3</v>
      </c>
      <c r="J100" t="n">
        <v>0</v>
      </c>
      <c r="K100" t="n">
        <v>14.62</v>
      </c>
      <c r="L100" t="n">
        <v>-15.1</v>
      </c>
    </row>
    <row r="101">
      <c r="A101" t="inlineStr">
        <is>
          <t>BR0831-1</t>
        </is>
      </c>
      <c r="B101" t="inlineStr">
        <is>
          <t>2026-08-31</t>
        </is>
      </c>
      <c r="C101" t="inlineStr">
        <is>
          <t>Bar line</t>
        </is>
      </c>
      <c r="D101" t="inlineStr">
        <is>
          <t>BAR-CHO-45</t>
        </is>
      </c>
      <c r="E101" t="inlineStr">
        <is>
          <t>Production</t>
        </is>
      </c>
      <c r="G101" t="n">
        <v>1079</v>
      </c>
      <c r="H101" t="n">
        <v>1013.4</v>
      </c>
      <c r="I101" t="n">
        <v>51.1</v>
      </c>
      <c r="J101" t="n">
        <v>1079</v>
      </c>
      <c r="K101" t="n">
        <v>1013.4</v>
      </c>
      <c r="L101" t="n">
        <v>51.1</v>
      </c>
    </row>
    <row r="102">
      <c r="A102" t="inlineStr">
        <is>
          <t>BR0831-2</t>
        </is>
      </c>
      <c r="B102" t="inlineStr">
        <is>
          <t>2026-08-31</t>
        </is>
      </c>
      <c r="C102" t="inlineStr">
        <is>
          <t>Bar line</t>
        </is>
      </c>
      <c r="D102" t="inlineStr">
        <is>
          <t>BAR-CHO-45</t>
        </is>
      </c>
      <c r="E102" t="inlineStr">
        <is>
          <t>Production</t>
        </is>
      </c>
      <c r="G102" t="n">
        <v>1253</v>
      </c>
      <c r="H102" t="n">
        <v>1162.935</v>
      </c>
      <c r="I102" t="n">
        <v>68.40000000000001</v>
      </c>
      <c r="J102" t="n">
        <v>1253</v>
      </c>
      <c r="K102" t="n">
        <v>1162.935</v>
      </c>
      <c r="L102" t="n">
        <v>68.40000000000001</v>
      </c>
    </row>
    <row r="103">
      <c r="A103" t="inlineStr">
        <is>
          <t>BT0831-1</t>
        </is>
      </c>
      <c r="B103" t="inlineStr">
        <is>
          <t>2026-08-31</t>
        </is>
      </c>
      <c r="C103" t="inlineStr">
        <is>
          <t>Bites line</t>
        </is>
      </c>
      <c r="D103" t="inlineStr">
        <is>
          <t>BITE-COCO-14</t>
        </is>
      </c>
      <c r="E103" t="inlineStr">
        <is>
          <t>Production</t>
        </is>
      </c>
      <c r="G103" t="n">
        <v>231</v>
      </c>
      <c r="H103" t="n">
        <v>218.54</v>
      </c>
      <c r="I103" t="n">
        <v>8.65</v>
      </c>
      <c r="J103" t="n">
        <v>231</v>
      </c>
      <c r="K103" t="n">
        <v>218.54</v>
      </c>
      <c r="L103" t="n">
        <v>8.65</v>
      </c>
    </row>
    <row r="104">
      <c r="A104" t="inlineStr">
        <is>
          <t>BT0831-2</t>
        </is>
      </c>
      <c r="B104" t="inlineStr">
        <is>
          <t>2026-08-31</t>
        </is>
      </c>
      <c r="C104" t="inlineStr">
        <is>
          <t>Bites line</t>
        </is>
      </c>
      <c r="D104" t="inlineStr">
        <is>
          <t>BITE-COCO-14</t>
        </is>
      </c>
      <c r="E104" t="inlineStr">
        <is>
          <t>Production</t>
        </is>
      </c>
      <c r="G104" t="n">
        <v>177</v>
      </c>
      <c r="H104" t="n">
        <v>160.188</v>
      </c>
      <c r="I104" t="n">
        <v>13.63</v>
      </c>
      <c r="J104" t="n">
        <v>177</v>
      </c>
      <c r="K104" t="n">
        <v>160.188</v>
      </c>
      <c r="L104" t="n">
        <v>13.63</v>
      </c>
    </row>
    <row r="105">
      <c r="A105" t="inlineStr">
        <is>
          <t>GR0831-1</t>
        </is>
      </c>
      <c r="B105" t="inlineStr">
        <is>
          <t>2026-08-31</t>
        </is>
      </c>
      <c r="C105" t="inlineStr">
        <is>
          <t>Granola line</t>
        </is>
      </c>
      <c r="D105" t="inlineStr">
        <is>
          <t>GRN-HON-340</t>
        </is>
      </c>
      <c r="E105" t="inlineStr">
        <is>
          <t>Production</t>
        </is>
      </c>
      <c r="G105" t="n">
        <v>764</v>
      </c>
      <c r="H105" t="n">
        <v>684.6</v>
      </c>
      <c r="I105" t="n">
        <v>32.3</v>
      </c>
      <c r="J105" t="n">
        <v>764</v>
      </c>
      <c r="K105" t="n">
        <v>684.6</v>
      </c>
      <c r="L105" t="n">
        <v>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