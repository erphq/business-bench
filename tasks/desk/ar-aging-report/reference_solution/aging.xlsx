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ing" sheetId="1" state="visible" r:id="rId1"/>
    <sheet name="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7" max="7"/>
    <col width="14" customWidth="1" min="8" max="8"/>
  </cols>
  <sheetData>
    <row r="1">
      <c r="A1" s="1" t="inlineStr">
        <is>
          <t>Yellowtail Seafood - receivables aging as of 31 Aug 2026</t>
        </is>
      </c>
    </row>
    <row r="2">
      <c r="A2" t="inlineStr">
        <is>
          <t>Days past due date; balances as they stood on 31 Aug 2026</t>
        </is>
      </c>
    </row>
    <row r="3">
      <c r="A3" s="2" t="inlineStr">
        <is>
          <t>Customer</t>
        </is>
      </c>
      <c r="B3" s="2" t="inlineStr">
        <is>
          <t>Current</t>
        </is>
      </c>
      <c r="C3" s="2" t="inlineStr">
        <is>
          <t>1-30 days</t>
        </is>
      </c>
      <c r="D3" s="2" t="inlineStr">
        <is>
          <t>31-60 days</t>
        </is>
      </c>
      <c r="E3" s="2" t="inlineStr">
        <is>
          <t>61-90 days</t>
        </is>
      </c>
      <c r="F3" s="2" t="inlineStr">
        <is>
          <t>Over 90 days</t>
        </is>
      </c>
      <c r="G3" s="2" t="inlineStr">
        <is>
          <t>Total</t>
        </is>
      </c>
      <c r="H3" s="2" t="inlineStr">
        <is>
          <t>Past due</t>
        </is>
      </c>
    </row>
    <row r="4">
      <c r="A4" t="inlineStr">
        <is>
          <t>Juniper Street Cafe</t>
        </is>
      </c>
      <c r="B4">
        <f>ROUND(SUMIFS(Items!$G$2:$G$145,Items!$A$2:$A$145,$A4,Items!$F$2:$F$145,B$3),2)</f>
        <v/>
      </c>
      <c r="C4">
        <f>ROUND(SUMIFS(Items!$G$2:$G$145,Items!$A$2:$A$145,$A4,Items!$F$2:$F$145,C$3),2)</f>
        <v/>
      </c>
      <c r="D4">
        <f>ROUND(SUMIFS(Items!$G$2:$G$145,Items!$A$2:$A$145,$A4,Items!$F$2:$F$145,D$3),2)</f>
        <v/>
      </c>
      <c r="E4">
        <f>ROUND(SUMIFS(Items!$G$2:$G$145,Items!$A$2:$A$145,$A4,Items!$F$2:$F$145,E$3),2)</f>
        <v/>
      </c>
      <c r="F4">
        <f>ROUND(SUMIFS(Items!$G$2:$G$145,Items!$A$2:$A$145,$A4,Items!$F$2:$F$145,F$3),2)</f>
        <v/>
      </c>
      <c r="G4">
        <f>SUM(B4:F4)</f>
        <v/>
      </c>
      <c r="H4">
        <f>G4-B4</f>
        <v/>
      </c>
    </row>
    <row r="5">
      <c r="A5" t="inlineStr">
        <is>
          <t>Harborview Oyster Bar</t>
        </is>
      </c>
      <c r="B5">
        <f>ROUND(SUMIFS(Items!$G$2:$G$145,Items!$A$2:$A$145,$A5,Items!$F$2:$F$145,B$3),2)</f>
        <v/>
      </c>
      <c r="C5">
        <f>ROUND(SUMIFS(Items!$G$2:$G$145,Items!$A$2:$A$145,$A5,Items!$F$2:$F$145,C$3),2)</f>
        <v/>
      </c>
      <c r="D5">
        <f>ROUND(SUMIFS(Items!$G$2:$G$145,Items!$A$2:$A$145,$A5,Items!$F$2:$F$145,D$3),2)</f>
        <v/>
      </c>
      <c r="E5">
        <f>ROUND(SUMIFS(Items!$G$2:$G$145,Items!$A$2:$A$145,$A5,Items!$F$2:$F$145,E$3),2)</f>
        <v/>
      </c>
      <c r="F5">
        <f>ROUND(SUMIFS(Items!$G$2:$G$145,Items!$A$2:$A$145,$A5,Items!$F$2:$F$145,F$3),2)</f>
        <v/>
      </c>
      <c r="G5">
        <f>SUM(B5:F5)</f>
        <v/>
      </c>
      <c r="H5">
        <f>G5-B5</f>
        <v/>
      </c>
    </row>
    <row r="6">
      <c r="A6" t="inlineStr">
        <is>
          <t>Tamarack Brewing</t>
        </is>
      </c>
      <c r="B6">
        <f>ROUND(SUMIFS(Items!$G$2:$G$145,Items!$A$2:$A$145,$A6,Items!$F$2:$F$145,B$3),2)</f>
        <v/>
      </c>
      <c r="C6">
        <f>ROUND(SUMIFS(Items!$G$2:$G$145,Items!$A$2:$A$145,$A6,Items!$F$2:$F$145,C$3),2)</f>
        <v/>
      </c>
      <c r="D6">
        <f>ROUND(SUMIFS(Items!$G$2:$G$145,Items!$A$2:$A$145,$A6,Items!$F$2:$F$145,D$3),2)</f>
        <v/>
      </c>
      <c r="E6">
        <f>ROUND(SUMIFS(Items!$G$2:$G$145,Items!$A$2:$A$145,$A6,Items!$F$2:$F$145,E$3),2)</f>
        <v/>
      </c>
      <c r="F6">
        <f>ROUND(SUMIFS(Items!$G$2:$G$145,Items!$A$2:$A$145,$A6,Items!$F$2:$F$145,F$3),2)</f>
        <v/>
      </c>
      <c r="G6">
        <f>SUM(B6:F6)</f>
        <v/>
      </c>
      <c r="H6">
        <f>G6-B6</f>
        <v/>
      </c>
    </row>
    <row r="7">
      <c r="A7" t="inlineStr">
        <is>
          <t>Ellington Bakeries</t>
        </is>
      </c>
      <c r="B7">
        <f>ROUND(SUMIFS(Items!$G$2:$G$145,Items!$A$2:$A$145,$A7,Items!$F$2:$F$145,B$3),2)</f>
        <v/>
      </c>
      <c r="C7">
        <f>ROUND(SUMIFS(Items!$G$2:$G$145,Items!$A$2:$A$145,$A7,Items!$F$2:$F$145,C$3),2)</f>
        <v/>
      </c>
      <c r="D7">
        <f>ROUND(SUMIFS(Items!$G$2:$G$145,Items!$A$2:$A$145,$A7,Items!$F$2:$F$145,D$3),2)</f>
        <v/>
      </c>
      <c r="E7">
        <f>ROUND(SUMIFS(Items!$G$2:$G$145,Items!$A$2:$A$145,$A7,Items!$F$2:$F$145,E$3),2)</f>
        <v/>
      </c>
      <c r="F7">
        <f>ROUND(SUMIFS(Items!$G$2:$G$145,Items!$A$2:$A$145,$A7,Items!$F$2:$F$145,F$3),2)</f>
        <v/>
      </c>
      <c r="G7">
        <f>SUM(B7:F7)</f>
        <v/>
      </c>
      <c r="H7">
        <f>G7-B7</f>
        <v/>
      </c>
    </row>
    <row r="8">
      <c r="A8" t="inlineStr">
        <is>
          <t>The Saltwater Grill</t>
        </is>
      </c>
      <c r="B8">
        <f>ROUND(SUMIFS(Items!$G$2:$G$145,Items!$A$2:$A$145,$A8,Items!$F$2:$F$145,B$3),2)</f>
        <v/>
      </c>
      <c r="C8">
        <f>ROUND(SUMIFS(Items!$G$2:$G$145,Items!$A$2:$A$145,$A8,Items!$F$2:$F$145,C$3),2)</f>
        <v/>
      </c>
      <c r="D8">
        <f>ROUND(SUMIFS(Items!$G$2:$G$145,Items!$A$2:$A$145,$A8,Items!$F$2:$F$145,D$3),2)</f>
        <v/>
      </c>
      <c r="E8">
        <f>ROUND(SUMIFS(Items!$G$2:$G$145,Items!$A$2:$A$145,$A8,Items!$F$2:$F$145,E$3),2)</f>
        <v/>
      </c>
      <c r="F8">
        <f>ROUND(SUMIFS(Items!$G$2:$G$145,Items!$A$2:$A$145,$A8,Items!$F$2:$F$145,F$3),2)</f>
        <v/>
      </c>
      <c r="G8">
        <f>SUM(B8:F8)</f>
        <v/>
      </c>
      <c r="H8">
        <f>G8-B8</f>
        <v/>
      </c>
    </row>
    <row r="9">
      <c r="A9" t="inlineStr">
        <is>
          <t>Pier 9 Fish House</t>
        </is>
      </c>
      <c r="B9">
        <f>ROUND(SUMIFS(Items!$G$2:$G$145,Items!$A$2:$A$145,$A9,Items!$F$2:$F$145,B$3),2)</f>
        <v/>
      </c>
      <c r="C9">
        <f>ROUND(SUMIFS(Items!$G$2:$G$145,Items!$A$2:$A$145,$A9,Items!$F$2:$F$145,C$3),2)</f>
        <v/>
      </c>
      <c r="D9">
        <f>ROUND(SUMIFS(Items!$G$2:$G$145,Items!$A$2:$A$145,$A9,Items!$F$2:$F$145,D$3),2)</f>
        <v/>
      </c>
      <c r="E9">
        <f>ROUND(SUMIFS(Items!$G$2:$G$145,Items!$A$2:$A$145,$A9,Items!$F$2:$F$145,E$3),2)</f>
        <v/>
      </c>
      <c r="F9">
        <f>ROUND(SUMIFS(Items!$G$2:$G$145,Items!$A$2:$A$145,$A9,Items!$F$2:$F$145,F$3),2)</f>
        <v/>
      </c>
      <c r="G9">
        <f>SUM(B9:F9)</f>
        <v/>
      </c>
      <c r="H9">
        <f>G9-B9</f>
        <v/>
      </c>
    </row>
    <row r="10">
      <c r="A10" t="inlineStr">
        <is>
          <t>Blue Heron Catering</t>
        </is>
      </c>
      <c r="B10">
        <f>ROUND(SUMIFS(Items!$G$2:$G$145,Items!$A$2:$A$145,$A10,Items!$F$2:$F$145,B$3),2)</f>
        <v/>
      </c>
      <c r="C10">
        <f>ROUND(SUMIFS(Items!$G$2:$G$145,Items!$A$2:$A$145,$A10,Items!$F$2:$F$145,C$3),2)</f>
        <v/>
      </c>
      <c r="D10">
        <f>ROUND(SUMIFS(Items!$G$2:$G$145,Items!$A$2:$A$145,$A10,Items!$F$2:$F$145,D$3),2)</f>
        <v/>
      </c>
      <c r="E10">
        <f>ROUND(SUMIFS(Items!$G$2:$G$145,Items!$A$2:$A$145,$A10,Items!$F$2:$F$145,E$3),2)</f>
        <v/>
      </c>
      <c r="F10">
        <f>ROUND(SUMIFS(Items!$G$2:$G$145,Items!$A$2:$A$145,$A10,Items!$F$2:$F$145,F$3),2)</f>
        <v/>
      </c>
      <c r="G10">
        <f>SUM(B10:F10)</f>
        <v/>
      </c>
      <c r="H10">
        <f>G10-B10</f>
        <v/>
      </c>
    </row>
    <row r="11">
      <c r="A11" t="inlineStr">
        <is>
          <t>Nightjar Supper Club</t>
        </is>
      </c>
      <c r="B11">
        <f>ROUND(SUMIFS(Items!$G$2:$G$145,Items!$A$2:$A$145,$A11,Items!$F$2:$F$145,B$3),2)</f>
        <v/>
      </c>
      <c r="C11">
        <f>ROUND(SUMIFS(Items!$G$2:$G$145,Items!$A$2:$A$145,$A11,Items!$F$2:$F$145,C$3),2)</f>
        <v/>
      </c>
      <c r="D11">
        <f>ROUND(SUMIFS(Items!$G$2:$G$145,Items!$A$2:$A$145,$A11,Items!$F$2:$F$145,D$3),2)</f>
        <v/>
      </c>
      <c r="E11">
        <f>ROUND(SUMIFS(Items!$G$2:$G$145,Items!$A$2:$A$145,$A11,Items!$F$2:$F$145,E$3),2)</f>
        <v/>
      </c>
      <c r="F11">
        <f>ROUND(SUMIFS(Items!$G$2:$G$145,Items!$A$2:$A$145,$A11,Items!$F$2:$F$145,F$3),2)</f>
        <v/>
      </c>
      <c r="G11">
        <f>SUM(B11:F11)</f>
        <v/>
      </c>
      <c r="H11">
        <f>G11-B11</f>
        <v/>
      </c>
    </row>
    <row r="12">
      <c r="A12" t="inlineStr">
        <is>
          <t>Riverbend Bistro</t>
        </is>
      </c>
      <c r="B12">
        <f>ROUND(SUMIFS(Items!$G$2:$G$145,Items!$A$2:$A$145,$A12,Items!$F$2:$F$145,B$3),2)</f>
        <v/>
      </c>
      <c r="C12">
        <f>ROUND(SUMIFS(Items!$G$2:$G$145,Items!$A$2:$A$145,$A12,Items!$F$2:$F$145,C$3),2)</f>
        <v/>
      </c>
      <c r="D12">
        <f>ROUND(SUMIFS(Items!$G$2:$G$145,Items!$A$2:$A$145,$A12,Items!$F$2:$F$145,D$3),2)</f>
        <v/>
      </c>
      <c r="E12">
        <f>ROUND(SUMIFS(Items!$G$2:$G$145,Items!$A$2:$A$145,$A12,Items!$F$2:$F$145,E$3),2)</f>
        <v/>
      </c>
      <c r="F12">
        <f>ROUND(SUMIFS(Items!$G$2:$G$145,Items!$A$2:$A$145,$A12,Items!$F$2:$F$145,F$3),2)</f>
        <v/>
      </c>
      <c r="G12">
        <f>SUM(B12:F12)</f>
        <v/>
      </c>
      <c r="H12">
        <f>G12-B12</f>
        <v/>
      </c>
    </row>
    <row r="13">
      <c r="A13" t="inlineStr">
        <is>
          <t>Copper Kettle Diner</t>
        </is>
      </c>
      <c r="B13">
        <f>ROUND(SUMIFS(Items!$G$2:$G$145,Items!$A$2:$A$145,$A13,Items!$F$2:$F$145,B$3),2)</f>
        <v/>
      </c>
      <c r="C13">
        <f>ROUND(SUMIFS(Items!$G$2:$G$145,Items!$A$2:$A$145,$A13,Items!$F$2:$F$145,C$3),2)</f>
        <v/>
      </c>
      <c r="D13">
        <f>ROUND(SUMIFS(Items!$G$2:$G$145,Items!$A$2:$A$145,$A13,Items!$F$2:$F$145,D$3),2)</f>
        <v/>
      </c>
      <c r="E13">
        <f>ROUND(SUMIFS(Items!$G$2:$G$145,Items!$A$2:$A$145,$A13,Items!$F$2:$F$145,E$3),2)</f>
        <v/>
      </c>
      <c r="F13">
        <f>ROUND(SUMIFS(Items!$G$2:$G$145,Items!$A$2:$A$145,$A13,Items!$F$2:$F$145,F$3),2)</f>
        <v/>
      </c>
      <c r="G13">
        <f>SUM(B13:F13)</f>
        <v/>
      </c>
      <c r="H13">
        <f>G13-B13</f>
        <v/>
      </c>
    </row>
    <row r="14">
      <c r="A14" t="inlineStr">
        <is>
          <t>Larkspur Hotel Kitchen</t>
        </is>
      </c>
      <c r="B14">
        <f>ROUND(SUMIFS(Items!$G$2:$G$145,Items!$A$2:$A$145,$A14,Items!$F$2:$F$145,B$3),2)</f>
        <v/>
      </c>
      <c r="C14">
        <f>ROUND(SUMIFS(Items!$G$2:$G$145,Items!$A$2:$A$145,$A14,Items!$F$2:$F$145,C$3),2)</f>
        <v/>
      </c>
      <c r="D14">
        <f>ROUND(SUMIFS(Items!$G$2:$G$145,Items!$A$2:$A$145,$A14,Items!$F$2:$F$145,D$3),2)</f>
        <v/>
      </c>
      <c r="E14">
        <f>ROUND(SUMIFS(Items!$G$2:$G$145,Items!$A$2:$A$145,$A14,Items!$F$2:$F$145,E$3),2)</f>
        <v/>
      </c>
      <c r="F14">
        <f>ROUND(SUMIFS(Items!$G$2:$G$145,Items!$A$2:$A$145,$A14,Items!$F$2:$F$145,F$3),2)</f>
        <v/>
      </c>
      <c r="G14">
        <f>SUM(B14:F14)</f>
        <v/>
      </c>
      <c r="H14">
        <f>G14-B14</f>
        <v/>
      </c>
    </row>
    <row r="15">
      <c r="A15" t="inlineStr">
        <is>
          <t>Driftwood Taqueria</t>
        </is>
      </c>
      <c r="B15">
        <f>ROUND(SUMIFS(Items!$G$2:$G$145,Items!$A$2:$A$145,$A15,Items!$F$2:$F$145,B$3),2)</f>
        <v/>
      </c>
      <c r="C15">
        <f>ROUND(SUMIFS(Items!$G$2:$G$145,Items!$A$2:$A$145,$A15,Items!$F$2:$F$145,C$3),2)</f>
        <v/>
      </c>
      <c r="D15">
        <f>ROUND(SUMIFS(Items!$G$2:$G$145,Items!$A$2:$A$145,$A15,Items!$F$2:$F$145,D$3),2)</f>
        <v/>
      </c>
      <c r="E15">
        <f>ROUND(SUMIFS(Items!$G$2:$G$145,Items!$A$2:$A$145,$A15,Items!$F$2:$F$145,E$3),2)</f>
        <v/>
      </c>
      <c r="F15">
        <f>ROUND(SUMIFS(Items!$G$2:$G$145,Items!$A$2:$A$145,$A15,Items!$F$2:$F$145,F$3),2)</f>
        <v/>
      </c>
      <c r="G15">
        <f>SUM(B15:F15)</f>
        <v/>
      </c>
      <c r="H15">
        <f>G15-B15</f>
        <v/>
      </c>
    </row>
    <row r="16">
      <c r="A16" t="inlineStr">
        <is>
          <t>Mossbank Country Club</t>
        </is>
      </c>
      <c r="B16">
        <f>ROUND(SUMIFS(Items!$G$2:$G$145,Items!$A$2:$A$145,$A16,Items!$F$2:$F$145,B$3),2)</f>
        <v/>
      </c>
      <c r="C16">
        <f>ROUND(SUMIFS(Items!$G$2:$G$145,Items!$A$2:$A$145,$A16,Items!$F$2:$F$145,C$3),2)</f>
        <v/>
      </c>
      <c r="D16">
        <f>ROUND(SUMIFS(Items!$G$2:$G$145,Items!$A$2:$A$145,$A16,Items!$F$2:$F$145,D$3),2)</f>
        <v/>
      </c>
      <c r="E16">
        <f>ROUND(SUMIFS(Items!$G$2:$G$145,Items!$A$2:$A$145,$A16,Items!$F$2:$F$145,E$3),2)</f>
        <v/>
      </c>
      <c r="F16">
        <f>ROUND(SUMIFS(Items!$G$2:$G$145,Items!$A$2:$A$145,$A16,Items!$F$2:$F$145,F$3),2)</f>
        <v/>
      </c>
      <c r="G16">
        <f>SUM(B16:F16)</f>
        <v/>
      </c>
      <c r="H16">
        <f>G16-B16</f>
        <v/>
      </c>
    </row>
    <row r="17">
      <c r="A17" t="inlineStr">
        <is>
          <t>Kingfisher Charters Galley</t>
        </is>
      </c>
      <c r="B17">
        <f>ROUND(SUMIFS(Items!$G$2:$G$145,Items!$A$2:$A$145,$A17,Items!$F$2:$F$145,B$3),2)</f>
        <v/>
      </c>
      <c r="C17">
        <f>ROUND(SUMIFS(Items!$G$2:$G$145,Items!$A$2:$A$145,$A17,Items!$F$2:$F$145,C$3),2)</f>
        <v/>
      </c>
      <c r="D17">
        <f>ROUND(SUMIFS(Items!$G$2:$G$145,Items!$A$2:$A$145,$A17,Items!$F$2:$F$145,D$3),2)</f>
        <v/>
      </c>
      <c r="E17">
        <f>ROUND(SUMIFS(Items!$G$2:$G$145,Items!$A$2:$A$145,$A17,Items!$F$2:$F$145,E$3),2)</f>
        <v/>
      </c>
      <c r="F17">
        <f>ROUND(SUMIFS(Items!$G$2:$G$145,Items!$A$2:$A$145,$A17,Items!$F$2:$F$145,F$3),2)</f>
        <v/>
      </c>
      <c r="G17">
        <f>SUM(B17:F17)</f>
        <v/>
      </c>
      <c r="H17">
        <f>G17-B17</f>
        <v/>
      </c>
    </row>
    <row r="18">
      <c r="A18" t="inlineStr">
        <is>
          <t>Total</t>
        </is>
      </c>
      <c r="B18">
        <f>SUM(B4:B17)</f>
        <v/>
      </c>
      <c r="C18">
        <f>SUM(C4:C17)</f>
        <v/>
      </c>
      <c r="D18">
        <f>SUM(D4:D17)</f>
        <v/>
      </c>
      <c r="E18">
        <f>SUM(E4:E17)</f>
        <v/>
      </c>
      <c r="F18">
        <f>SUM(F4:F17)</f>
        <v/>
      </c>
      <c r="G18">
        <f>SUM(G4:G17)</f>
        <v/>
      </c>
      <c r="H18">
        <f>SUM(H4:H17)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2" t="inlineStr">
        <is>
          <t>customer</t>
        </is>
      </c>
      <c r="B1" s="2" t="inlineStr">
        <is>
          <t>invoice</t>
        </is>
      </c>
      <c r="C1" s="2" t="inlineStr">
        <is>
          <t>invoice date</t>
        </is>
      </c>
      <c r="D1" s="2" t="inlineStr">
        <is>
          <t>due date</t>
        </is>
      </c>
      <c r="E1" s="2" t="inlineStr">
        <is>
          <t>days past due</t>
        </is>
      </c>
      <c r="F1" s="2" t="inlineStr">
        <is>
          <t>bucket</t>
        </is>
      </c>
      <c r="G1" s="2" t="inlineStr">
        <is>
          <t>balance</t>
        </is>
      </c>
    </row>
    <row r="2">
      <c r="A2" t="inlineStr">
        <is>
          <t>Blue Heron Catering</t>
        </is>
      </c>
      <c r="B2" t="inlineStr">
        <is>
          <t>YS-31440</t>
        </is>
      </c>
      <c r="C2" t="inlineStr">
        <is>
          <t>2026-06-21</t>
        </is>
      </c>
      <c r="D2" t="inlineStr">
        <is>
          <t>2026-07-21</t>
        </is>
      </c>
      <c r="E2" t="n">
        <v>41</v>
      </c>
      <c r="F2" t="inlineStr">
        <is>
          <t>31-60 days</t>
        </is>
      </c>
      <c r="G2" t="n">
        <v>960.38</v>
      </c>
    </row>
    <row r="3">
      <c r="A3" t="inlineStr">
        <is>
          <t>Blue Heron Catering</t>
        </is>
      </c>
      <c r="B3" t="inlineStr">
        <is>
          <t>YS-31456</t>
        </is>
      </c>
      <c r="C3" t="inlineStr">
        <is>
          <t>2026-06-28</t>
        </is>
      </c>
      <c r="D3" t="inlineStr">
        <is>
          <t>2026-07-28</t>
        </is>
      </c>
      <c r="E3" t="n">
        <v>34</v>
      </c>
      <c r="F3" t="inlineStr">
        <is>
          <t>31-60 days</t>
        </is>
      </c>
      <c r="G3" t="n">
        <v>1684.43</v>
      </c>
    </row>
    <row r="4">
      <c r="A4" t="inlineStr">
        <is>
          <t>Blue Heron Catering</t>
        </is>
      </c>
      <c r="B4" t="inlineStr">
        <is>
          <t>YS-31489</t>
        </is>
      </c>
      <c r="C4" t="inlineStr">
        <is>
          <t>2026-07-12</t>
        </is>
      </c>
      <c r="D4" t="inlineStr">
        <is>
          <t>2026-08-11</t>
        </is>
      </c>
      <c r="E4" t="n">
        <v>20</v>
      </c>
      <c r="F4" t="inlineStr">
        <is>
          <t>1-30 days</t>
        </is>
      </c>
      <c r="G4" t="n">
        <v>2366.88</v>
      </c>
    </row>
    <row r="5">
      <c r="A5" t="inlineStr">
        <is>
          <t>Blue Heron Catering</t>
        </is>
      </c>
      <c r="B5" t="inlineStr">
        <is>
          <t>YS-31497</t>
        </is>
      </c>
      <c r="C5" t="inlineStr">
        <is>
          <t>2026-07-17</t>
        </is>
      </c>
      <c r="D5" t="inlineStr">
        <is>
          <t>2026-08-16</t>
        </is>
      </c>
      <c r="E5" t="n">
        <v>15</v>
      </c>
      <c r="F5" t="inlineStr">
        <is>
          <t>1-30 days</t>
        </is>
      </c>
      <c r="G5" t="n">
        <v>5341.32</v>
      </c>
    </row>
    <row r="6">
      <c r="A6" t="inlineStr">
        <is>
          <t>Blue Heron Catering</t>
        </is>
      </c>
      <c r="B6" t="inlineStr">
        <is>
          <t>YS-31510</t>
        </is>
      </c>
      <c r="C6" t="inlineStr">
        <is>
          <t>2026-07-23</t>
        </is>
      </c>
      <c r="D6" t="inlineStr">
        <is>
          <t>2026-08-22</t>
        </is>
      </c>
      <c r="E6" t="n">
        <v>9</v>
      </c>
      <c r="F6" t="inlineStr">
        <is>
          <t>1-30 days</t>
        </is>
      </c>
      <c r="G6" t="n">
        <v>5536.36</v>
      </c>
    </row>
    <row r="7">
      <c r="A7" t="inlineStr">
        <is>
          <t>Blue Heron Catering</t>
        </is>
      </c>
      <c r="B7" t="inlineStr">
        <is>
          <t>YS-31540</t>
        </is>
      </c>
      <c r="C7" t="inlineStr">
        <is>
          <t>2026-08-04</t>
        </is>
      </c>
      <c r="D7" t="inlineStr">
        <is>
          <t>2026-09-03</t>
        </is>
      </c>
      <c r="E7" t="n">
        <v>-3</v>
      </c>
      <c r="F7" t="inlineStr">
        <is>
          <t>Current</t>
        </is>
      </c>
      <c r="G7" t="n">
        <v>7126.3</v>
      </c>
    </row>
    <row r="8">
      <c r="A8" t="inlineStr">
        <is>
          <t>Blue Heron Catering</t>
        </is>
      </c>
      <c r="B8" t="inlineStr">
        <is>
          <t>YS-31553</t>
        </is>
      </c>
      <c r="C8" t="inlineStr">
        <is>
          <t>2026-08-10</t>
        </is>
      </c>
      <c r="D8" t="inlineStr">
        <is>
          <t>2026-09-09</t>
        </is>
      </c>
      <c r="E8" t="n">
        <v>-9</v>
      </c>
      <c r="F8" t="inlineStr">
        <is>
          <t>Current</t>
        </is>
      </c>
      <c r="G8" t="n">
        <v>1408.12</v>
      </c>
    </row>
    <row r="9">
      <c r="A9" t="inlineStr">
        <is>
          <t>Blue Heron Catering</t>
        </is>
      </c>
      <c r="B9" t="inlineStr">
        <is>
          <t>YS-31568</t>
        </is>
      </c>
      <c r="C9" t="inlineStr">
        <is>
          <t>2026-08-16</t>
        </is>
      </c>
      <c r="D9" t="inlineStr">
        <is>
          <t>2026-09-15</t>
        </is>
      </c>
      <c r="E9" t="n">
        <v>-15</v>
      </c>
      <c r="F9" t="inlineStr">
        <is>
          <t>Current</t>
        </is>
      </c>
      <c r="G9" t="n">
        <v>5321.89</v>
      </c>
    </row>
    <row r="10">
      <c r="A10" t="inlineStr">
        <is>
          <t>Blue Heron Catering</t>
        </is>
      </c>
      <c r="B10" t="inlineStr">
        <is>
          <t>YS-31579</t>
        </is>
      </c>
      <c r="C10" t="inlineStr">
        <is>
          <t>2026-08-21</t>
        </is>
      </c>
      <c r="D10" t="inlineStr">
        <is>
          <t>2026-09-20</t>
        </is>
      </c>
      <c r="E10" t="n">
        <v>-20</v>
      </c>
      <c r="F10" t="inlineStr">
        <is>
          <t>Current</t>
        </is>
      </c>
      <c r="G10" t="n">
        <v>5106.99</v>
      </c>
    </row>
    <row r="11">
      <c r="A11" t="inlineStr">
        <is>
          <t>Blue Heron Catering</t>
        </is>
      </c>
      <c r="B11" t="inlineStr">
        <is>
          <t>YS-31599</t>
        </is>
      </c>
      <c r="C11" t="inlineStr">
        <is>
          <t>2026-08-30</t>
        </is>
      </c>
      <c r="D11" t="inlineStr">
        <is>
          <t>2026-09-29</t>
        </is>
      </c>
      <c r="E11" t="n">
        <v>-29</v>
      </c>
      <c r="F11" t="inlineStr">
        <is>
          <t>Current</t>
        </is>
      </c>
      <c r="G11" t="n">
        <v>4933.1</v>
      </c>
    </row>
    <row r="12">
      <c r="A12" t="inlineStr">
        <is>
          <t>Copper Kettle Diner</t>
        </is>
      </c>
      <c r="B12" t="inlineStr">
        <is>
          <t>YS-31239</t>
        </is>
      </c>
      <c r="C12" t="inlineStr">
        <is>
          <t>2026-03-18</t>
        </is>
      </c>
      <c r="D12" t="inlineStr">
        <is>
          <t>2026-04-02</t>
        </is>
      </c>
      <c r="E12" t="n">
        <v>151</v>
      </c>
      <c r="F12" t="inlineStr">
        <is>
          <t>Over 90 days</t>
        </is>
      </c>
      <c r="G12" t="n">
        <v>4663.87</v>
      </c>
    </row>
    <row r="13">
      <c r="A13" t="inlineStr">
        <is>
          <t>Copper Kettle Diner</t>
        </is>
      </c>
      <c r="B13" t="inlineStr">
        <is>
          <t>YS-31319</t>
        </is>
      </c>
      <c r="C13" t="inlineStr">
        <is>
          <t>2026-04-26</t>
        </is>
      </c>
      <c r="D13" t="inlineStr">
        <is>
          <t>2026-05-11</t>
        </is>
      </c>
      <c r="E13" t="n">
        <v>112</v>
      </c>
      <c r="F13" t="inlineStr">
        <is>
          <t>Over 90 days</t>
        </is>
      </c>
      <c r="G13" t="n">
        <v>1238.69</v>
      </c>
    </row>
    <row r="14">
      <c r="A14" t="inlineStr">
        <is>
          <t>Copper Kettle Diner</t>
        </is>
      </c>
      <c r="B14" t="inlineStr">
        <is>
          <t>YS-31411</t>
        </is>
      </c>
      <c r="C14" t="inlineStr">
        <is>
          <t>2026-06-08</t>
        </is>
      </c>
      <c r="D14" t="inlineStr">
        <is>
          <t>2026-06-23</t>
        </is>
      </c>
      <c r="E14" t="n">
        <v>69</v>
      </c>
      <c r="F14" t="inlineStr">
        <is>
          <t>61-90 days</t>
        </is>
      </c>
      <c r="G14" t="n">
        <v>1237.52</v>
      </c>
    </row>
    <row r="15">
      <c r="A15" t="inlineStr">
        <is>
          <t>Copper Kettle Diner</t>
        </is>
      </c>
      <c r="B15" t="inlineStr">
        <is>
          <t>YS-31498</t>
        </is>
      </c>
      <c r="C15" t="inlineStr">
        <is>
          <t>2026-07-17</t>
        </is>
      </c>
      <c r="D15" t="inlineStr">
        <is>
          <t>2026-08-01</t>
        </is>
      </c>
      <c r="E15" t="n">
        <v>30</v>
      </c>
      <c r="F15" t="inlineStr">
        <is>
          <t>1-30 days</t>
        </is>
      </c>
      <c r="G15" t="n">
        <v>4216.16</v>
      </c>
    </row>
    <row r="16">
      <c r="A16" t="inlineStr">
        <is>
          <t>Copper Kettle Diner</t>
        </is>
      </c>
      <c r="B16" t="inlineStr">
        <is>
          <t>YS-31529</t>
        </is>
      </c>
      <c r="C16" t="inlineStr">
        <is>
          <t>2026-07-30</t>
        </is>
      </c>
      <c r="D16" t="inlineStr">
        <is>
          <t>2026-08-14</t>
        </is>
      </c>
      <c r="E16" t="n">
        <v>17</v>
      </c>
      <c r="F16" t="inlineStr">
        <is>
          <t>1-30 days</t>
        </is>
      </c>
      <c r="G16" t="n">
        <v>3296.4</v>
      </c>
    </row>
    <row r="17">
      <c r="A17" t="inlineStr">
        <is>
          <t>Copper Kettle Diner</t>
        </is>
      </c>
      <c r="B17" t="inlineStr">
        <is>
          <t>YS-31560</t>
        </is>
      </c>
      <c r="C17" t="inlineStr">
        <is>
          <t>2026-08-14</t>
        </is>
      </c>
      <c r="D17" t="inlineStr">
        <is>
          <t>2026-08-29</t>
        </is>
      </c>
      <c r="E17" t="n">
        <v>2</v>
      </c>
      <c r="F17" t="inlineStr">
        <is>
          <t>1-30 days</t>
        </is>
      </c>
      <c r="G17" t="n">
        <v>4398.68</v>
      </c>
    </row>
    <row r="18">
      <c r="A18" t="inlineStr">
        <is>
          <t>Copper Kettle Diner</t>
        </is>
      </c>
      <c r="B18" t="inlineStr">
        <is>
          <t>YS-31576</t>
        </is>
      </c>
      <c r="C18" t="inlineStr">
        <is>
          <t>2026-08-20</t>
        </is>
      </c>
      <c r="D18" t="inlineStr">
        <is>
          <t>2026-09-04</t>
        </is>
      </c>
      <c r="E18" t="n">
        <v>-4</v>
      </c>
      <c r="F18" t="inlineStr">
        <is>
          <t>Current</t>
        </is>
      </c>
      <c r="G18" t="n">
        <v>1896.95</v>
      </c>
    </row>
    <row r="19">
      <c r="A19" t="inlineStr">
        <is>
          <t>Copper Kettle Diner</t>
        </is>
      </c>
      <c r="B19" t="inlineStr">
        <is>
          <t>YS-31593</t>
        </is>
      </c>
      <c r="C19" t="inlineStr">
        <is>
          <t>2026-08-27</t>
        </is>
      </c>
      <c r="D19" t="inlineStr">
        <is>
          <t>2026-09-11</t>
        </is>
      </c>
      <c r="E19" t="n">
        <v>-11</v>
      </c>
      <c r="F19" t="inlineStr">
        <is>
          <t>Current</t>
        </is>
      </c>
      <c r="G19" t="n">
        <v>3272.92</v>
      </c>
    </row>
    <row r="20">
      <c r="A20" t="inlineStr">
        <is>
          <t>Driftwood Taqueria</t>
        </is>
      </c>
      <c r="B20" t="inlineStr">
        <is>
          <t>YS-31470</t>
        </is>
      </c>
      <c r="C20" t="inlineStr">
        <is>
          <t>2026-07-05</t>
        </is>
      </c>
      <c r="D20" t="inlineStr">
        <is>
          <t>2026-08-04</t>
        </is>
      </c>
      <c r="E20" t="n">
        <v>27</v>
      </c>
      <c r="F20" t="inlineStr">
        <is>
          <t>1-30 days</t>
        </is>
      </c>
      <c r="G20" t="n">
        <v>3199.4</v>
      </c>
    </row>
    <row r="21">
      <c r="A21" t="inlineStr">
        <is>
          <t>Driftwood Taqueria</t>
        </is>
      </c>
      <c r="B21" t="inlineStr">
        <is>
          <t>YS-31494</t>
        </is>
      </c>
      <c r="C21" t="inlineStr">
        <is>
          <t>2026-07-16</t>
        </is>
      </c>
      <c r="D21" t="inlineStr">
        <is>
          <t>2026-08-15</t>
        </is>
      </c>
      <c r="E21" t="n">
        <v>16</v>
      </c>
      <c r="F21" t="inlineStr">
        <is>
          <t>1-30 days</t>
        </is>
      </c>
      <c r="G21" t="n">
        <v>4762.94</v>
      </c>
    </row>
    <row r="22">
      <c r="A22" t="inlineStr">
        <is>
          <t>Driftwood Taqueria</t>
        </is>
      </c>
      <c r="B22" t="inlineStr">
        <is>
          <t>YS-31520</t>
        </is>
      </c>
      <c r="C22" t="inlineStr">
        <is>
          <t>2026-07-26</t>
        </is>
      </c>
      <c r="D22" t="inlineStr">
        <is>
          <t>2026-08-25</t>
        </is>
      </c>
      <c r="E22" t="n">
        <v>6</v>
      </c>
      <c r="F22" t="inlineStr">
        <is>
          <t>1-30 days</t>
        </is>
      </c>
      <c r="G22" t="n">
        <v>6362.76</v>
      </c>
    </row>
    <row r="23">
      <c r="A23" t="inlineStr">
        <is>
          <t>Driftwood Taqueria</t>
        </is>
      </c>
      <c r="B23" t="inlineStr">
        <is>
          <t>YS-31547</t>
        </is>
      </c>
      <c r="C23" t="inlineStr">
        <is>
          <t>2026-08-07</t>
        </is>
      </c>
      <c r="D23" t="inlineStr">
        <is>
          <t>2026-09-06</t>
        </is>
      </c>
      <c r="E23" t="n">
        <v>-6</v>
      </c>
      <c r="F23" t="inlineStr">
        <is>
          <t>Current</t>
        </is>
      </c>
      <c r="G23" t="n">
        <v>5857.64</v>
      </c>
    </row>
    <row r="24">
      <c r="A24" t="inlineStr">
        <is>
          <t>Driftwood Taqueria</t>
        </is>
      </c>
      <c r="B24" t="inlineStr">
        <is>
          <t>YS-31582</t>
        </is>
      </c>
      <c r="C24" t="inlineStr">
        <is>
          <t>2026-08-23</t>
        </is>
      </c>
      <c r="D24" t="inlineStr">
        <is>
          <t>2026-09-22</t>
        </is>
      </c>
      <c r="E24" t="n">
        <v>-22</v>
      </c>
      <c r="F24" t="inlineStr">
        <is>
          <t>Current</t>
        </is>
      </c>
      <c r="G24" t="n">
        <v>4855.53</v>
      </c>
    </row>
    <row r="25">
      <c r="A25" t="inlineStr">
        <is>
          <t>Ellington Bakeries</t>
        </is>
      </c>
      <c r="B25" t="inlineStr">
        <is>
          <t>YS-31454</t>
        </is>
      </c>
      <c r="C25" t="inlineStr">
        <is>
          <t>2026-06-27</t>
        </is>
      </c>
      <c r="D25" t="inlineStr">
        <is>
          <t>2026-07-12</t>
        </is>
      </c>
      <c r="E25" t="n">
        <v>50</v>
      </c>
      <c r="F25" t="inlineStr">
        <is>
          <t>31-60 days</t>
        </is>
      </c>
      <c r="G25" t="n">
        <v>3031.81</v>
      </c>
    </row>
    <row r="26">
      <c r="A26" t="inlineStr">
        <is>
          <t>Ellington Bakeries</t>
        </is>
      </c>
      <c r="B26" t="inlineStr">
        <is>
          <t>YS-31556</t>
        </is>
      </c>
      <c r="C26" t="inlineStr">
        <is>
          <t>2026-08-12</t>
        </is>
      </c>
      <c r="D26" t="inlineStr">
        <is>
          <t>2026-08-27</t>
        </is>
      </c>
      <c r="E26" t="n">
        <v>4</v>
      </c>
      <c r="F26" t="inlineStr">
        <is>
          <t>1-30 days</t>
        </is>
      </c>
      <c r="G26" t="n">
        <v>7562.64</v>
      </c>
    </row>
    <row r="27">
      <c r="A27" t="inlineStr">
        <is>
          <t>Ellington Bakeries</t>
        </is>
      </c>
      <c r="B27" t="inlineStr">
        <is>
          <t>YS-31590</t>
        </is>
      </c>
      <c r="C27" t="inlineStr">
        <is>
          <t>2026-08-26</t>
        </is>
      </c>
      <c r="D27" t="inlineStr">
        <is>
          <t>2026-09-10</t>
        </is>
      </c>
      <c r="E27" t="n">
        <v>-10</v>
      </c>
      <c r="F27" t="inlineStr">
        <is>
          <t>Current</t>
        </is>
      </c>
      <c r="G27" t="n">
        <v>1630.71</v>
      </c>
    </row>
    <row r="28">
      <c r="A28" t="inlineStr">
        <is>
          <t>Harborview Oyster Bar</t>
        </is>
      </c>
      <c r="B28" t="inlineStr">
        <is>
          <t>YS-31246</t>
        </is>
      </c>
      <c r="C28" t="inlineStr">
        <is>
          <t>2026-03-21</t>
        </is>
      </c>
      <c r="D28" t="inlineStr">
        <is>
          <t>2026-04-20</t>
        </is>
      </c>
      <c r="E28" t="n">
        <v>133</v>
      </c>
      <c r="F28" t="inlineStr">
        <is>
          <t>Over 90 days</t>
        </is>
      </c>
      <c r="G28" t="n">
        <v>1114.27</v>
      </c>
    </row>
    <row r="29">
      <c r="A29" t="inlineStr">
        <is>
          <t>Harborview Oyster Bar</t>
        </is>
      </c>
      <c r="B29" t="inlineStr">
        <is>
          <t>YS-31323</t>
        </is>
      </c>
      <c r="C29" t="inlineStr">
        <is>
          <t>2026-04-30</t>
        </is>
      </c>
      <c r="D29" t="inlineStr">
        <is>
          <t>2026-05-30</t>
        </is>
      </c>
      <c r="E29" t="n">
        <v>93</v>
      </c>
      <c r="F29" t="inlineStr">
        <is>
          <t>Over 90 days</t>
        </is>
      </c>
      <c r="G29" t="n">
        <v>401.7</v>
      </c>
    </row>
    <row r="30">
      <c r="A30" t="inlineStr">
        <is>
          <t>Harborview Oyster Bar</t>
        </is>
      </c>
      <c r="B30" t="inlineStr">
        <is>
          <t>YS-31356</t>
        </is>
      </c>
      <c r="C30" t="inlineStr">
        <is>
          <t>2026-05-15</t>
        </is>
      </c>
      <c r="D30" t="inlineStr">
        <is>
          <t>2026-06-14</t>
        </is>
      </c>
      <c r="E30" t="n">
        <v>78</v>
      </c>
      <c r="F30" t="inlineStr">
        <is>
          <t>61-90 days</t>
        </is>
      </c>
      <c r="G30" t="n">
        <v>966.0700000000001</v>
      </c>
    </row>
    <row r="31">
      <c r="A31" t="inlineStr">
        <is>
          <t>Harborview Oyster Bar</t>
        </is>
      </c>
      <c r="B31" t="inlineStr">
        <is>
          <t>YS-31431</t>
        </is>
      </c>
      <c r="C31" t="inlineStr">
        <is>
          <t>2026-06-17</t>
        </is>
      </c>
      <c r="D31" t="inlineStr">
        <is>
          <t>2026-07-17</t>
        </is>
      </c>
      <c r="E31" t="n">
        <v>45</v>
      </c>
      <c r="F31" t="inlineStr">
        <is>
          <t>31-60 days</t>
        </is>
      </c>
      <c r="G31" t="n">
        <v>3910.82</v>
      </c>
    </row>
    <row r="32">
      <c r="A32" t="inlineStr">
        <is>
          <t>Harborview Oyster Bar</t>
        </is>
      </c>
      <c r="B32" t="inlineStr">
        <is>
          <t>YS-31449</t>
        </is>
      </c>
      <c r="C32" t="inlineStr">
        <is>
          <t>2026-06-25</t>
        </is>
      </c>
      <c r="D32" t="inlineStr">
        <is>
          <t>2026-07-25</t>
        </is>
      </c>
      <c r="E32" t="n">
        <v>37</v>
      </c>
      <c r="F32" t="inlineStr">
        <is>
          <t>31-60 days</t>
        </is>
      </c>
      <c r="G32" t="n">
        <v>3660.91</v>
      </c>
    </row>
    <row r="33">
      <c r="A33" t="inlineStr">
        <is>
          <t>Harborview Oyster Bar</t>
        </is>
      </c>
      <c r="B33" t="inlineStr">
        <is>
          <t>YS-31481</t>
        </is>
      </c>
      <c r="C33" t="inlineStr">
        <is>
          <t>2026-07-08</t>
        </is>
      </c>
      <c r="D33" t="inlineStr">
        <is>
          <t>2026-08-07</t>
        </is>
      </c>
      <c r="E33" t="n">
        <v>24</v>
      </c>
      <c r="F33" t="inlineStr">
        <is>
          <t>1-30 days</t>
        </is>
      </c>
      <c r="G33" t="n">
        <v>5030.23</v>
      </c>
    </row>
    <row r="34">
      <c r="A34" t="inlineStr">
        <is>
          <t>Harborview Oyster Bar</t>
        </is>
      </c>
      <c r="B34" t="inlineStr">
        <is>
          <t>YS-31495</t>
        </is>
      </c>
      <c r="C34" t="inlineStr">
        <is>
          <t>2026-07-16</t>
        </is>
      </c>
      <c r="D34" t="inlineStr">
        <is>
          <t>2026-08-15</t>
        </is>
      </c>
      <c r="E34" t="n">
        <v>16</v>
      </c>
      <c r="F34" t="inlineStr">
        <is>
          <t>1-30 days</t>
        </is>
      </c>
      <c r="G34" t="n">
        <v>3637.02</v>
      </c>
    </row>
    <row r="35">
      <c r="A35" t="inlineStr">
        <is>
          <t>Harborview Oyster Bar</t>
        </is>
      </c>
      <c r="B35" t="inlineStr">
        <is>
          <t>YS-31501</t>
        </is>
      </c>
      <c r="C35" t="inlineStr">
        <is>
          <t>2026-07-18</t>
        </is>
      </c>
      <c r="D35" t="inlineStr">
        <is>
          <t>2026-08-17</t>
        </is>
      </c>
      <c r="E35" t="n">
        <v>14</v>
      </c>
      <c r="F35" t="inlineStr">
        <is>
          <t>1-30 days</t>
        </is>
      </c>
      <c r="G35" t="n">
        <v>3604.51</v>
      </c>
    </row>
    <row r="36">
      <c r="A36" t="inlineStr">
        <is>
          <t>Harborview Oyster Bar</t>
        </is>
      </c>
      <c r="B36" t="inlineStr">
        <is>
          <t>YS-31506</t>
        </is>
      </c>
      <c r="C36" t="inlineStr">
        <is>
          <t>2026-07-20</t>
        </is>
      </c>
      <c r="D36" t="inlineStr">
        <is>
          <t>2026-08-19</t>
        </is>
      </c>
      <c r="E36" t="n">
        <v>12</v>
      </c>
      <c r="F36" t="inlineStr">
        <is>
          <t>1-30 days</t>
        </is>
      </c>
      <c r="G36" t="n">
        <v>5976.54</v>
      </c>
    </row>
    <row r="37">
      <c r="A37" t="inlineStr">
        <is>
          <t>Harborview Oyster Bar</t>
        </is>
      </c>
      <c r="B37" t="inlineStr">
        <is>
          <t>YS-31524</t>
        </is>
      </c>
      <c r="C37" t="inlineStr">
        <is>
          <t>2026-07-28</t>
        </is>
      </c>
      <c r="D37" t="inlineStr">
        <is>
          <t>2026-08-27</t>
        </is>
      </c>
      <c r="E37" t="n">
        <v>4</v>
      </c>
      <c r="F37" t="inlineStr">
        <is>
          <t>1-30 days</t>
        </is>
      </c>
      <c r="G37" t="n">
        <v>2998.97</v>
      </c>
    </row>
    <row r="38">
      <c r="A38" t="inlineStr">
        <is>
          <t>Harborview Oyster Bar</t>
        </is>
      </c>
      <c r="B38" t="inlineStr">
        <is>
          <t>YS-31533</t>
        </is>
      </c>
      <c r="C38" t="inlineStr">
        <is>
          <t>2026-08-01</t>
        </is>
      </c>
      <c r="D38" t="inlineStr">
        <is>
          <t>2026-08-31</t>
        </is>
      </c>
      <c r="E38" t="n">
        <v>0</v>
      </c>
      <c r="F38" t="inlineStr">
        <is>
          <t>Current</t>
        </is>
      </c>
      <c r="G38" t="n">
        <v>6609.14</v>
      </c>
    </row>
    <row r="39">
      <c r="A39" t="inlineStr">
        <is>
          <t>Harborview Oyster Bar</t>
        </is>
      </c>
      <c r="B39" t="inlineStr">
        <is>
          <t>YS-31542</t>
        </is>
      </c>
      <c r="C39" t="inlineStr">
        <is>
          <t>2026-08-05</t>
        </is>
      </c>
      <c r="D39" t="inlineStr">
        <is>
          <t>2026-09-04</t>
        </is>
      </c>
      <c r="E39" t="n">
        <v>-4</v>
      </c>
      <c r="F39" t="inlineStr">
        <is>
          <t>Current</t>
        </is>
      </c>
      <c r="G39" t="n">
        <v>6075.84</v>
      </c>
    </row>
    <row r="40">
      <c r="A40" t="inlineStr">
        <is>
          <t>Harborview Oyster Bar</t>
        </is>
      </c>
      <c r="B40" t="inlineStr">
        <is>
          <t>YS-31551</t>
        </is>
      </c>
      <c r="C40" t="inlineStr">
        <is>
          <t>2026-08-09</t>
        </is>
      </c>
      <c r="D40" t="inlineStr">
        <is>
          <t>2026-09-08</t>
        </is>
      </c>
      <c r="E40" t="n">
        <v>-8</v>
      </c>
      <c r="F40" t="inlineStr">
        <is>
          <t>Current</t>
        </is>
      </c>
      <c r="G40" t="n">
        <v>5154.38</v>
      </c>
    </row>
    <row r="41">
      <c r="A41" t="inlineStr">
        <is>
          <t>Harborview Oyster Bar</t>
        </is>
      </c>
      <c r="B41" t="inlineStr">
        <is>
          <t>YS-31557</t>
        </is>
      </c>
      <c r="C41" t="inlineStr">
        <is>
          <t>2026-08-12</t>
        </is>
      </c>
      <c r="D41" t="inlineStr">
        <is>
          <t>2026-09-11</t>
        </is>
      </c>
      <c r="E41" t="n">
        <v>-11</v>
      </c>
      <c r="F41" t="inlineStr">
        <is>
          <t>Current</t>
        </is>
      </c>
      <c r="G41" t="n">
        <v>1015.82</v>
      </c>
    </row>
    <row r="42">
      <c r="A42" t="inlineStr">
        <is>
          <t>Harborview Oyster Bar</t>
        </is>
      </c>
      <c r="B42" t="inlineStr">
        <is>
          <t>YS-31569</t>
        </is>
      </c>
      <c r="C42" t="inlineStr">
        <is>
          <t>2026-08-16</t>
        </is>
      </c>
      <c r="D42" t="inlineStr">
        <is>
          <t>2026-09-15</t>
        </is>
      </c>
      <c r="E42" t="n">
        <v>-15</v>
      </c>
      <c r="F42" t="inlineStr">
        <is>
          <t>Current</t>
        </is>
      </c>
      <c r="G42" t="n">
        <v>1390.8</v>
      </c>
    </row>
    <row r="43">
      <c r="A43" t="inlineStr">
        <is>
          <t>Harborview Oyster Bar</t>
        </is>
      </c>
      <c r="B43" t="inlineStr">
        <is>
          <t>YS-31580</t>
        </is>
      </c>
      <c r="C43" t="inlineStr">
        <is>
          <t>2026-08-21</t>
        </is>
      </c>
      <c r="D43" t="inlineStr">
        <is>
          <t>2026-09-20</t>
        </is>
      </c>
      <c r="E43" t="n">
        <v>-20</v>
      </c>
      <c r="F43" t="inlineStr">
        <is>
          <t>Current</t>
        </is>
      </c>
      <c r="G43" t="n">
        <v>1298.07</v>
      </c>
    </row>
    <row r="44">
      <c r="A44" t="inlineStr">
        <is>
          <t>Harborview Oyster Bar</t>
        </is>
      </c>
      <c r="B44" t="inlineStr">
        <is>
          <t>YS-31585</t>
        </is>
      </c>
      <c r="C44" t="inlineStr">
        <is>
          <t>2026-08-24</t>
        </is>
      </c>
      <c r="D44" t="inlineStr">
        <is>
          <t>2026-09-23</t>
        </is>
      </c>
      <c r="E44" t="n">
        <v>-23</v>
      </c>
      <c r="F44" t="inlineStr">
        <is>
          <t>Current</t>
        </is>
      </c>
      <c r="G44" t="n">
        <v>6509.58</v>
      </c>
    </row>
    <row r="45">
      <c r="A45" t="inlineStr">
        <is>
          <t>Harborview Oyster Bar</t>
        </is>
      </c>
      <c r="B45" t="inlineStr">
        <is>
          <t>YS-31591</t>
        </is>
      </c>
      <c r="C45" t="inlineStr">
        <is>
          <t>2026-08-26</t>
        </is>
      </c>
      <c r="D45" t="inlineStr">
        <is>
          <t>2026-09-25</t>
        </is>
      </c>
      <c r="E45" t="n">
        <v>-25</v>
      </c>
      <c r="F45" t="inlineStr">
        <is>
          <t>Current</t>
        </is>
      </c>
      <c r="G45" t="n">
        <v>3611.43</v>
      </c>
    </row>
    <row r="46">
      <c r="A46" t="inlineStr">
        <is>
          <t>Harborview Oyster Bar</t>
        </is>
      </c>
      <c r="B46" t="inlineStr">
        <is>
          <t>YS-31600</t>
        </is>
      </c>
      <c r="C46" t="inlineStr">
        <is>
          <t>2026-08-30</t>
        </is>
      </c>
      <c r="D46" t="inlineStr">
        <is>
          <t>2026-09-29</t>
        </is>
      </c>
      <c r="E46" t="n">
        <v>-29</v>
      </c>
      <c r="F46" t="inlineStr">
        <is>
          <t>Current</t>
        </is>
      </c>
      <c r="G46" t="n">
        <v>2328.92</v>
      </c>
    </row>
    <row r="47">
      <c r="A47" t="inlineStr">
        <is>
          <t>Juniper Street Cafe</t>
        </is>
      </c>
      <c r="B47" t="inlineStr">
        <is>
          <t>YS-31249</t>
        </is>
      </c>
      <c r="C47" t="inlineStr">
        <is>
          <t>2026-03-23</t>
        </is>
      </c>
      <c r="D47" t="inlineStr">
        <is>
          <t>2026-04-07</t>
        </is>
      </c>
      <c r="E47" t="n">
        <v>146</v>
      </c>
      <c r="F47" t="inlineStr">
        <is>
          <t>Over 90 days</t>
        </is>
      </c>
      <c r="G47" t="n">
        <v>1895.78</v>
      </c>
    </row>
    <row r="48">
      <c r="A48" t="inlineStr">
        <is>
          <t>Juniper Street Cafe</t>
        </is>
      </c>
      <c r="B48" t="inlineStr">
        <is>
          <t>YS-31336</t>
        </is>
      </c>
      <c r="C48" t="inlineStr">
        <is>
          <t>2026-05-04</t>
        </is>
      </c>
      <c r="D48" t="inlineStr">
        <is>
          <t>2026-05-19</t>
        </is>
      </c>
      <c r="E48" t="n">
        <v>104</v>
      </c>
      <c r="F48" t="inlineStr">
        <is>
          <t>Over 90 days</t>
        </is>
      </c>
      <c r="G48" t="n">
        <v>2838.15</v>
      </c>
    </row>
    <row r="49">
      <c r="A49" t="inlineStr">
        <is>
          <t>Juniper Street Cafe</t>
        </is>
      </c>
      <c r="B49" t="inlineStr">
        <is>
          <t>YS-31357</t>
        </is>
      </c>
      <c r="C49" t="inlineStr">
        <is>
          <t>2026-05-15</t>
        </is>
      </c>
      <c r="D49" t="inlineStr">
        <is>
          <t>2026-05-30</t>
        </is>
      </c>
      <c r="E49" t="n">
        <v>93</v>
      </c>
      <c r="F49" t="inlineStr">
        <is>
          <t>Over 90 days</t>
        </is>
      </c>
      <c r="G49" t="n">
        <v>5706.04</v>
      </c>
    </row>
    <row r="50">
      <c r="A50" t="inlineStr">
        <is>
          <t>Juniper Street Cafe</t>
        </is>
      </c>
      <c r="B50" t="inlineStr">
        <is>
          <t>YS-31522</t>
        </is>
      </c>
      <c r="C50" t="inlineStr">
        <is>
          <t>2026-07-27</t>
        </is>
      </c>
      <c r="D50" t="inlineStr">
        <is>
          <t>2026-08-11</t>
        </is>
      </c>
      <c r="E50" t="n">
        <v>20</v>
      </c>
      <c r="F50" t="inlineStr">
        <is>
          <t>1-30 days</t>
        </is>
      </c>
      <c r="G50" t="n">
        <v>7014.28</v>
      </c>
    </row>
    <row r="51">
      <c r="A51" t="inlineStr">
        <is>
          <t>Juniper Street Cafe</t>
        </is>
      </c>
      <c r="B51" t="inlineStr">
        <is>
          <t>YS-31563</t>
        </is>
      </c>
      <c r="C51" t="inlineStr">
        <is>
          <t>2026-08-14</t>
        </is>
      </c>
      <c r="D51" t="inlineStr">
        <is>
          <t>2026-08-29</t>
        </is>
      </c>
      <c r="E51" t="n">
        <v>2</v>
      </c>
      <c r="F51" t="inlineStr">
        <is>
          <t>1-30 days</t>
        </is>
      </c>
      <c r="G51" t="n">
        <v>6666.64</v>
      </c>
    </row>
    <row r="52">
      <c r="A52" t="inlineStr">
        <is>
          <t>Juniper Street Cafe</t>
        </is>
      </c>
      <c r="B52" t="inlineStr">
        <is>
          <t>YS-31588</t>
        </is>
      </c>
      <c r="C52" t="inlineStr">
        <is>
          <t>2026-08-25</t>
        </is>
      </c>
      <c r="D52" t="inlineStr">
        <is>
          <t>2026-09-09</t>
        </is>
      </c>
      <c r="E52" t="n">
        <v>-9</v>
      </c>
      <c r="F52" t="inlineStr">
        <is>
          <t>Current</t>
        </is>
      </c>
      <c r="G52" t="n">
        <v>4268.32</v>
      </c>
    </row>
    <row r="53">
      <c r="A53" t="inlineStr">
        <is>
          <t>Kingfisher Charters Galley</t>
        </is>
      </c>
      <c r="B53" t="inlineStr">
        <is>
          <t>YS-31394</t>
        </is>
      </c>
      <c r="C53" t="inlineStr">
        <is>
          <t>2026-05-31</t>
        </is>
      </c>
      <c r="D53" t="inlineStr">
        <is>
          <t>2026-06-15</t>
        </is>
      </c>
      <c r="E53" t="n">
        <v>77</v>
      </c>
      <c r="F53" t="inlineStr">
        <is>
          <t>61-90 days</t>
        </is>
      </c>
      <c r="G53" t="n">
        <v>2335.53</v>
      </c>
    </row>
    <row r="54">
      <c r="A54" t="inlineStr">
        <is>
          <t>Kingfisher Charters Galley</t>
        </is>
      </c>
      <c r="B54" t="inlineStr">
        <is>
          <t>YS-31471</t>
        </is>
      </c>
      <c r="C54" t="inlineStr">
        <is>
          <t>2026-07-05</t>
        </is>
      </c>
      <c r="D54" t="inlineStr">
        <is>
          <t>2026-07-20</t>
        </is>
      </c>
      <c r="E54" t="n">
        <v>42</v>
      </c>
      <c r="F54" t="inlineStr">
        <is>
          <t>31-60 days</t>
        </is>
      </c>
      <c r="G54" t="n">
        <v>3948.49</v>
      </c>
    </row>
    <row r="55">
      <c r="A55" t="inlineStr">
        <is>
          <t>Kingfisher Charters Galley</t>
        </is>
      </c>
      <c r="B55" t="inlineStr">
        <is>
          <t>YS-31543</t>
        </is>
      </c>
      <c r="C55" t="inlineStr">
        <is>
          <t>2026-08-05</t>
        </is>
      </c>
      <c r="D55" t="inlineStr">
        <is>
          <t>2026-08-20</t>
        </is>
      </c>
      <c r="E55" t="n">
        <v>11</v>
      </c>
      <c r="F55" t="inlineStr">
        <is>
          <t>1-30 days</t>
        </is>
      </c>
      <c r="G55" t="n">
        <v>4897.89</v>
      </c>
    </row>
    <row r="56">
      <c r="A56" t="inlineStr">
        <is>
          <t>Kingfisher Charters Galley</t>
        </is>
      </c>
      <c r="B56" t="inlineStr">
        <is>
          <t>YS-31572</t>
        </is>
      </c>
      <c r="C56" t="inlineStr">
        <is>
          <t>2026-08-18</t>
        </is>
      </c>
      <c r="D56" t="inlineStr">
        <is>
          <t>2026-09-02</t>
        </is>
      </c>
      <c r="E56" t="n">
        <v>-2</v>
      </c>
      <c r="F56" t="inlineStr">
        <is>
          <t>Current</t>
        </is>
      </c>
      <c r="G56" t="n">
        <v>3904.9</v>
      </c>
    </row>
    <row r="57">
      <c r="A57" t="inlineStr">
        <is>
          <t>Larkspur Hotel Kitchen</t>
        </is>
      </c>
      <c r="B57" t="inlineStr">
        <is>
          <t>YS-31324</t>
        </is>
      </c>
      <c r="C57" t="inlineStr">
        <is>
          <t>2026-04-30</t>
        </is>
      </c>
      <c r="D57" t="inlineStr">
        <is>
          <t>2026-06-14</t>
        </is>
      </c>
      <c r="E57" t="n">
        <v>78</v>
      </c>
      <c r="F57" t="inlineStr">
        <is>
          <t>61-90 days</t>
        </is>
      </c>
      <c r="G57" t="n">
        <v>1427.23</v>
      </c>
    </row>
    <row r="58">
      <c r="A58" t="inlineStr">
        <is>
          <t>Larkspur Hotel Kitchen</t>
        </is>
      </c>
      <c r="B58" t="inlineStr">
        <is>
          <t>YS-31391</t>
        </is>
      </c>
      <c r="C58" t="inlineStr">
        <is>
          <t>2026-05-30</t>
        </is>
      </c>
      <c r="D58" t="inlineStr">
        <is>
          <t>2026-07-14</t>
        </is>
      </c>
      <c r="E58" t="n">
        <v>48</v>
      </c>
      <c r="F58" t="inlineStr">
        <is>
          <t>31-60 days</t>
        </is>
      </c>
      <c r="G58" t="n">
        <v>900.97</v>
      </c>
    </row>
    <row r="59">
      <c r="A59" t="inlineStr">
        <is>
          <t>Larkspur Hotel Kitchen</t>
        </is>
      </c>
      <c r="B59" t="inlineStr">
        <is>
          <t>YS-31472</t>
        </is>
      </c>
      <c r="C59" t="inlineStr">
        <is>
          <t>2026-07-05</t>
        </is>
      </c>
      <c r="D59" t="inlineStr">
        <is>
          <t>2026-08-19</t>
        </is>
      </c>
      <c r="E59" t="n">
        <v>12</v>
      </c>
      <c r="F59" t="inlineStr">
        <is>
          <t>1-30 days</t>
        </is>
      </c>
      <c r="G59" t="n">
        <v>3048.73</v>
      </c>
    </row>
    <row r="60">
      <c r="A60" t="inlineStr">
        <is>
          <t>Larkspur Hotel Kitchen</t>
        </is>
      </c>
      <c r="B60" t="inlineStr">
        <is>
          <t>YS-31491</t>
        </is>
      </c>
      <c r="C60" t="inlineStr">
        <is>
          <t>2026-07-12</t>
        </is>
      </c>
      <c r="D60" t="inlineStr">
        <is>
          <t>2026-08-26</t>
        </is>
      </c>
      <c r="E60" t="n">
        <v>5</v>
      </c>
      <c r="F60" t="inlineStr">
        <is>
          <t>1-30 days</t>
        </is>
      </c>
      <c r="G60" t="n">
        <v>3359.66</v>
      </c>
    </row>
    <row r="61">
      <c r="A61" t="inlineStr">
        <is>
          <t>Larkspur Hotel Kitchen</t>
        </is>
      </c>
      <c r="B61" t="inlineStr">
        <is>
          <t>YS-31503</t>
        </is>
      </c>
      <c r="C61" t="inlineStr">
        <is>
          <t>2026-07-18</t>
        </is>
      </c>
      <c r="D61" t="inlineStr">
        <is>
          <t>2026-09-01</t>
        </is>
      </c>
      <c r="E61" t="n">
        <v>-1</v>
      </c>
      <c r="F61" t="inlineStr">
        <is>
          <t>Current</t>
        </is>
      </c>
      <c r="G61" t="n">
        <v>3927.94</v>
      </c>
    </row>
    <row r="62">
      <c r="A62" t="inlineStr">
        <is>
          <t>Larkspur Hotel Kitchen</t>
        </is>
      </c>
      <c r="B62" t="inlineStr">
        <is>
          <t>YS-31515</t>
        </is>
      </c>
      <c r="C62" t="inlineStr">
        <is>
          <t>2026-07-24</t>
        </is>
      </c>
      <c r="D62" t="inlineStr">
        <is>
          <t>2026-09-07</t>
        </is>
      </c>
      <c r="E62" t="n">
        <v>-7</v>
      </c>
      <c r="F62" t="inlineStr">
        <is>
          <t>Current</t>
        </is>
      </c>
      <c r="G62" t="n">
        <v>1929.37</v>
      </c>
    </row>
    <row r="63">
      <c r="A63" t="inlineStr">
        <is>
          <t>Larkspur Hotel Kitchen</t>
        </is>
      </c>
      <c r="B63" t="inlineStr">
        <is>
          <t>YS-31527</t>
        </is>
      </c>
      <c r="C63" t="inlineStr">
        <is>
          <t>2026-07-29</t>
        </is>
      </c>
      <c r="D63" t="inlineStr">
        <is>
          <t>2026-09-12</t>
        </is>
      </c>
      <c r="E63" t="n">
        <v>-12</v>
      </c>
      <c r="F63" t="inlineStr">
        <is>
          <t>Current</t>
        </is>
      </c>
      <c r="G63" t="n">
        <v>2504.62</v>
      </c>
    </row>
    <row r="64">
      <c r="A64" t="inlineStr">
        <is>
          <t>Larkspur Hotel Kitchen</t>
        </is>
      </c>
      <c r="B64" t="inlineStr">
        <is>
          <t>YS-31535</t>
        </is>
      </c>
      <c r="C64" t="inlineStr">
        <is>
          <t>2026-08-01</t>
        </is>
      </c>
      <c r="D64" t="inlineStr">
        <is>
          <t>2026-09-15</t>
        </is>
      </c>
      <c r="E64" t="n">
        <v>-15</v>
      </c>
      <c r="F64" t="inlineStr">
        <is>
          <t>Current</t>
        </is>
      </c>
      <c r="G64" t="n">
        <v>6476.64</v>
      </c>
    </row>
    <row r="65">
      <c r="A65" t="inlineStr">
        <is>
          <t>Larkspur Hotel Kitchen</t>
        </is>
      </c>
      <c r="B65" t="inlineStr">
        <is>
          <t>YS-31545</t>
        </is>
      </c>
      <c r="C65" t="inlineStr">
        <is>
          <t>2026-08-06</t>
        </is>
      </c>
      <c r="D65" t="inlineStr">
        <is>
          <t>2026-09-20</t>
        </is>
      </c>
      <c r="E65" t="n">
        <v>-20</v>
      </c>
      <c r="F65" t="inlineStr">
        <is>
          <t>Current</t>
        </is>
      </c>
      <c r="G65" t="n">
        <v>6537.08</v>
      </c>
    </row>
    <row r="66">
      <c r="A66" t="inlineStr">
        <is>
          <t>Larkspur Hotel Kitchen</t>
        </is>
      </c>
      <c r="B66" t="inlineStr">
        <is>
          <t>YS-31548</t>
        </is>
      </c>
      <c r="C66" t="inlineStr">
        <is>
          <t>2026-08-08</t>
        </is>
      </c>
      <c r="D66" t="inlineStr">
        <is>
          <t>2026-09-22</t>
        </is>
      </c>
      <c r="E66" t="n">
        <v>-22</v>
      </c>
      <c r="F66" t="inlineStr">
        <is>
          <t>Current</t>
        </is>
      </c>
      <c r="G66" t="n">
        <v>1905.4</v>
      </c>
    </row>
    <row r="67">
      <c r="A67" t="inlineStr">
        <is>
          <t>Larkspur Hotel Kitchen</t>
        </is>
      </c>
      <c r="B67" t="inlineStr">
        <is>
          <t>YS-31555</t>
        </is>
      </c>
      <c r="C67" t="inlineStr">
        <is>
          <t>2026-08-11</t>
        </is>
      </c>
      <c r="D67" t="inlineStr">
        <is>
          <t>2026-09-25</t>
        </is>
      </c>
      <c r="E67" t="n">
        <v>-25</v>
      </c>
      <c r="F67" t="inlineStr">
        <is>
          <t>Current</t>
        </is>
      </c>
      <c r="G67" t="n">
        <v>5846.72</v>
      </c>
    </row>
    <row r="68">
      <c r="A68" t="inlineStr">
        <is>
          <t>Larkspur Hotel Kitchen</t>
        </is>
      </c>
      <c r="B68" t="inlineStr">
        <is>
          <t>YS-31564</t>
        </is>
      </c>
      <c r="C68" t="inlineStr">
        <is>
          <t>2026-08-14</t>
        </is>
      </c>
      <c r="D68" t="inlineStr">
        <is>
          <t>2026-09-28</t>
        </is>
      </c>
      <c r="E68" t="n">
        <v>-28</v>
      </c>
      <c r="F68" t="inlineStr">
        <is>
          <t>Current</t>
        </is>
      </c>
      <c r="G68" t="n">
        <v>6779.4</v>
      </c>
    </row>
    <row r="69">
      <c r="A69" t="inlineStr">
        <is>
          <t>Larkspur Hotel Kitchen</t>
        </is>
      </c>
      <c r="B69" t="inlineStr">
        <is>
          <t>YS-31570</t>
        </is>
      </c>
      <c r="C69" t="inlineStr">
        <is>
          <t>2026-08-16</t>
        </is>
      </c>
      <c r="D69" t="inlineStr">
        <is>
          <t>2026-09-30</t>
        </is>
      </c>
      <c r="E69" t="n">
        <v>-30</v>
      </c>
      <c r="F69" t="inlineStr">
        <is>
          <t>Current</t>
        </is>
      </c>
      <c r="G69" t="n">
        <v>3481.84</v>
      </c>
    </row>
    <row r="70">
      <c r="A70" t="inlineStr">
        <is>
          <t>Larkspur Hotel Kitchen</t>
        </is>
      </c>
      <c r="B70" t="inlineStr">
        <is>
          <t>YS-31577</t>
        </is>
      </c>
      <c r="C70" t="inlineStr">
        <is>
          <t>2026-08-20</t>
        </is>
      </c>
      <c r="D70" t="inlineStr">
        <is>
          <t>2026-10-04</t>
        </is>
      </c>
      <c r="E70" t="n">
        <v>-34</v>
      </c>
      <c r="F70" t="inlineStr">
        <is>
          <t>Current</t>
        </is>
      </c>
      <c r="G70" t="n">
        <v>3547.57</v>
      </c>
    </row>
    <row r="71">
      <c r="A71" t="inlineStr">
        <is>
          <t>Larkspur Hotel Kitchen</t>
        </is>
      </c>
      <c r="B71" t="inlineStr">
        <is>
          <t>YS-31586</t>
        </is>
      </c>
      <c r="C71" t="inlineStr">
        <is>
          <t>2026-08-24</t>
        </is>
      </c>
      <c r="D71" t="inlineStr">
        <is>
          <t>2026-10-08</t>
        </is>
      </c>
      <c r="E71" t="n">
        <v>-38</v>
      </c>
      <c r="F71" t="inlineStr">
        <is>
          <t>Current</t>
        </is>
      </c>
      <c r="G71" t="n">
        <v>7630.46</v>
      </c>
    </row>
    <row r="72">
      <c r="A72" t="inlineStr">
        <is>
          <t>Larkspur Hotel Kitchen</t>
        </is>
      </c>
      <c r="B72" t="inlineStr">
        <is>
          <t>YS-31592</t>
        </is>
      </c>
      <c r="C72" t="inlineStr">
        <is>
          <t>2026-08-26</t>
        </is>
      </c>
      <c r="D72" t="inlineStr">
        <is>
          <t>2026-10-10</t>
        </is>
      </c>
      <c r="E72" t="n">
        <v>-40</v>
      </c>
      <c r="F72" t="inlineStr">
        <is>
          <t>Current</t>
        </is>
      </c>
      <c r="G72" t="n">
        <v>2921.05</v>
      </c>
    </row>
    <row r="73">
      <c r="A73" t="inlineStr">
        <is>
          <t>Larkspur Hotel Kitchen</t>
        </is>
      </c>
      <c r="B73" t="inlineStr">
        <is>
          <t>YS-31601</t>
        </is>
      </c>
      <c r="C73" t="inlineStr">
        <is>
          <t>2026-08-30</t>
        </is>
      </c>
      <c r="D73" t="inlineStr">
        <is>
          <t>2026-10-14</t>
        </is>
      </c>
      <c r="E73" t="n">
        <v>-44</v>
      </c>
      <c r="F73" t="inlineStr">
        <is>
          <t>Current</t>
        </is>
      </c>
      <c r="G73" t="n">
        <v>3142.39</v>
      </c>
    </row>
    <row r="74">
      <c r="A74" t="inlineStr">
        <is>
          <t>Mossbank Country Club</t>
        </is>
      </c>
      <c r="B74" t="inlineStr">
        <is>
          <t>YS-31254</t>
        </is>
      </c>
      <c r="C74" t="inlineStr">
        <is>
          <t>2026-03-25</t>
        </is>
      </c>
      <c r="D74" t="inlineStr">
        <is>
          <t>2026-04-24</t>
        </is>
      </c>
      <c r="E74" t="n">
        <v>129</v>
      </c>
      <c r="F74" t="inlineStr">
        <is>
          <t>Over 90 days</t>
        </is>
      </c>
      <c r="G74" t="n">
        <v>3569.19</v>
      </c>
    </row>
    <row r="75">
      <c r="A75" t="inlineStr">
        <is>
          <t>Mossbank Country Club</t>
        </is>
      </c>
      <c r="B75" t="inlineStr">
        <is>
          <t>YS-31482</t>
        </is>
      </c>
      <c r="C75" t="inlineStr">
        <is>
          <t>2026-07-08</t>
        </is>
      </c>
      <c r="D75" t="inlineStr">
        <is>
          <t>2026-08-07</t>
        </is>
      </c>
      <c r="E75" t="n">
        <v>24</v>
      </c>
      <c r="F75" t="inlineStr">
        <is>
          <t>1-30 days</t>
        </is>
      </c>
      <c r="G75" t="n">
        <v>7392.63</v>
      </c>
    </row>
    <row r="76">
      <c r="A76" t="inlineStr">
        <is>
          <t>Mossbank Country Club</t>
        </is>
      </c>
      <c r="B76" t="inlineStr">
        <is>
          <t>YS-31517</t>
        </is>
      </c>
      <c r="C76" t="inlineStr">
        <is>
          <t>2026-07-25</t>
        </is>
      </c>
      <c r="D76" t="inlineStr">
        <is>
          <t>2026-08-24</t>
        </is>
      </c>
      <c r="E76" t="n">
        <v>7</v>
      </c>
      <c r="F76" t="inlineStr">
        <is>
          <t>1-30 days</t>
        </is>
      </c>
      <c r="G76" t="n">
        <v>1589.29</v>
      </c>
    </row>
    <row r="77">
      <c r="A77" t="inlineStr">
        <is>
          <t>Mossbank Country Club</t>
        </is>
      </c>
      <c r="B77" t="inlineStr">
        <is>
          <t>YS-31537</t>
        </is>
      </c>
      <c r="C77" t="inlineStr">
        <is>
          <t>2026-08-02</t>
        </is>
      </c>
      <c r="D77" t="inlineStr">
        <is>
          <t>2026-09-01</t>
        </is>
      </c>
      <c r="E77" t="n">
        <v>-1</v>
      </c>
      <c r="F77" t="inlineStr">
        <is>
          <t>Current</t>
        </is>
      </c>
      <c r="G77" t="n">
        <v>2631.83</v>
      </c>
    </row>
    <row r="78">
      <c r="A78" t="inlineStr">
        <is>
          <t>Mossbank Country Club</t>
        </is>
      </c>
      <c r="B78" t="inlineStr">
        <is>
          <t>YS-31549</t>
        </is>
      </c>
      <c r="C78" t="inlineStr">
        <is>
          <t>2026-08-08</t>
        </is>
      </c>
      <c r="D78" t="inlineStr">
        <is>
          <t>2026-09-07</t>
        </is>
      </c>
      <c r="E78" t="n">
        <v>-7</v>
      </c>
      <c r="F78" t="inlineStr">
        <is>
          <t>Current</t>
        </is>
      </c>
      <c r="G78" t="n">
        <v>4117.02</v>
      </c>
    </row>
    <row r="79">
      <c r="A79" t="inlineStr">
        <is>
          <t>Mossbank Country Club</t>
        </is>
      </c>
      <c r="B79" t="inlineStr">
        <is>
          <t>YS-31571</t>
        </is>
      </c>
      <c r="C79" t="inlineStr">
        <is>
          <t>2026-08-17</t>
        </is>
      </c>
      <c r="D79" t="inlineStr">
        <is>
          <t>2026-09-16</t>
        </is>
      </c>
      <c r="E79" t="n">
        <v>-16</v>
      </c>
      <c r="F79" t="inlineStr">
        <is>
          <t>Current</t>
        </is>
      </c>
      <c r="G79" t="n">
        <v>2386.22</v>
      </c>
    </row>
    <row r="80">
      <c r="A80" t="inlineStr">
        <is>
          <t>Mossbank Country Club</t>
        </is>
      </c>
      <c r="B80" t="inlineStr">
        <is>
          <t>YS-31587</t>
        </is>
      </c>
      <c r="C80" t="inlineStr">
        <is>
          <t>2026-08-24</t>
        </is>
      </c>
      <c r="D80" t="inlineStr">
        <is>
          <t>2026-09-23</t>
        </is>
      </c>
      <c r="E80" t="n">
        <v>-23</v>
      </c>
      <c r="F80" t="inlineStr">
        <is>
          <t>Current</t>
        </is>
      </c>
      <c r="G80" t="n">
        <v>4671.16</v>
      </c>
    </row>
    <row r="81">
      <c r="A81" t="inlineStr">
        <is>
          <t>Mossbank Country Club</t>
        </is>
      </c>
      <c r="B81" t="inlineStr">
        <is>
          <t>YS-31595</t>
        </is>
      </c>
      <c r="C81" t="inlineStr">
        <is>
          <t>2026-08-28</t>
        </is>
      </c>
      <c r="D81" t="inlineStr">
        <is>
          <t>2026-09-27</t>
        </is>
      </c>
      <c r="E81" t="n">
        <v>-27</v>
      </c>
      <c r="F81" t="inlineStr">
        <is>
          <t>Current</t>
        </is>
      </c>
      <c r="G81" t="n">
        <v>5475.96</v>
      </c>
    </row>
    <row r="82">
      <c r="A82" t="inlineStr">
        <is>
          <t>Nightjar Supper Club</t>
        </is>
      </c>
      <c r="B82" t="inlineStr">
        <is>
          <t>YS-31333</t>
        </is>
      </c>
      <c r="C82" t="inlineStr">
        <is>
          <t>2026-05-03</t>
        </is>
      </c>
      <c r="D82" t="inlineStr">
        <is>
          <t>2026-05-18</t>
        </is>
      </c>
      <c r="E82" t="n">
        <v>105</v>
      </c>
      <c r="F82" t="inlineStr">
        <is>
          <t>Over 90 days</t>
        </is>
      </c>
      <c r="G82" t="n">
        <v>1887.97</v>
      </c>
    </row>
    <row r="83">
      <c r="A83" t="inlineStr">
        <is>
          <t>Nightjar Supper Club</t>
        </is>
      </c>
      <c r="B83" t="inlineStr">
        <is>
          <t>YS-31581</t>
        </is>
      </c>
      <c r="C83" t="inlineStr">
        <is>
          <t>2026-08-21</t>
        </is>
      </c>
      <c r="D83" t="inlineStr">
        <is>
          <t>2026-09-05</t>
        </is>
      </c>
      <c r="E83" t="n">
        <v>-5</v>
      </c>
      <c r="F83" t="inlineStr">
        <is>
          <t>Current</t>
        </is>
      </c>
      <c r="G83" t="n">
        <v>2880.15</v>
      </c>
    </row>
    <row r="84">
      <c r="A84" t="inlineStr">
        <is>
          <t>Pier 9 Fish House</t>
        </is>
      </c>
      <c r="B84" t="inlineStr">
        <is>
          <t>YS-31221</t>
        </is>
      </c>
      <c r="C84" t="inlineStr">
        <is>
          <t>2026-03-09</t>
        </is>
      </c>
      <c r="D84" t="inlineStr">
        <is>
          <t>2026-04-08</t>
        </is>
      </c>
      <c r="E84" t="n">
        <v>145</v>
      </c>
      <c r="F84" t="inlineStr">
        <is>
          <t>Over 90 days</t>
        </is>
      </c>
      <c r="G84" t="n">
        <v>1712.93</v>
      </c>
    </row>
    <row r="85">
      <c r="A85" t="inlineStr">
        <is>
          <t>Pier 9 Fish House</t>
        </is>
      </c>
      <c r="B85" t="inlineStr">
        <is>
          <t>YS-31251</t>
        </is>
      </c>
      <c r="C85" t="inlineStr">
        <is>
          <t>2026-03-24</t>
        </is>
      </c>
      <c r="D85" t="inlineStr">
        <is>
          <t>2026-04-23</t>
        </is>
      </c>
      <c r="E85" t="n">
        <v>130</v>
      </c>
      <c r="F85" t="inlineStr">
        <is>
          <t>Over 90 days</t>
        </is>
      </c>
      <c r="G85" t="n">
        <v>6493.9</v>
      </c>
    </row>
    <row r="86">
      <c r="A86" t="inlineStr">
        <is>
          <t>Pier 9 Fish House</t>
        </is>
      </c>
      <c r="B86" t="inlineStr">
        <is>
          <t>YS-31317</t>
        </is>
      </c>
      <c r="C86" t="inlineStr">
        <is>
          <t>2026-04-25</t>
        </is>
      </c>
      <c r="D86" t="inlineStr">
        <is>
          <t>2026-05-25</t>
        </is>
      </c>
      <c r="E86" t="n">
        <v>98</v>
      </c>
      <c r="F86" t="inlineStr">
        <is>
          <t>Over 90 days</t>
        </is>
      </c>
      <c r="G86" t="n">
        <v>4024.9</v>
      </c>
    </row>
    <row r="87">
      <c r="A87" t="inlineStr">
        <is>
          <t>Pier 9 Fish House</t>
        </is>
      </c>
      <c r="B87" t="inlineStr">
        <is>
          <t>YS-31328</t>
        </is>
      </c>
      <c r="C87" t="inlineStr">
        <is>
          <t>2026-05-01</t>
        </is>
      </c>
      <c r="D87" t="inlineStr">
        <is>
          <t>2026-05-31</t>
        </is>
      </c>
      <c r="E87" t="n">
        <v>92</v>
      </c>
      <c r="F87" t="inlineStr">
        <is>
          <t>Over 90 days</t>
        </is>
      </c>
      <c r="G87" t="n">
        <v>993.8200000000001</v>
      </c>
    </row>
    <row r="88">
      <c r="A88" t="inlineStr">
        <is>
          <t>Pier 9 Fish House</t>
        </is>
      </c>
      <c r="B88" t="inlineStr">
        <is>
          <t>YS-31343</t>
        </is>
      </c>
      <c r="C88" t="inlineStr">
        <is>
          <t>2026-05-08</t>
        </is>
      </c>
      <c r="D88" t="inlineStr">
        <is>
          <t>2026-06-07</t>
        </is>
      </c>
      <c r="E88" t="n">
        <v>85</v>
      </c>
      <c r="F88" t="inlineStr">
        <is>
          <t>61-90 days</t>
        </is>
      </c>
      <c r="G88" t="n">
        <v>3188.21</v>
      </c>
    </row>
    <row r="89">
      <c r="A89" t="inlineStr">
        <is>
          <t>Pier 9 Fish House</t>
        </is>
      </c>
      <c r="B89" t="inlineStr">
        <is>
          <t>YS-31373</t>
        </is>
      </c>
      <c r="C89" t="inlineStr">
        <is>
          <t>2026-05-23</t>
        </is>
      </c>
      <c r="D89" t="inlineStr">
        <is>
          <t>2026-06-22</t>
        </is>
      </c>
      <c r="E89" t="n">
        <v>70</v>
      </c>
      <c r="F89" t="inlineStr">
        <is>
          <t>61-90 days</t>
        </is>
      </c>
      <c r="G89" t="n">
        <v>1088.53</v>
      </c>
    </row>
    <row r="90">
      <c r="A90" t="inlineStr">
        <is>
          <t>Pier 9 Fish House</t>
        </is>
      </c>
      <c r="B90" t="inlineStr">
        <is>
          <t>YS-31401</t>
        </is>
      </c>
      <c r="C90" t="inlineStr">
        <is>
          <t>2026-06-02</t>
        </is>
      </c>
      <c r="D90" t="inlineStr">
        <is>
          <t>2026-07-02</t>
        </is>
      </c>
      <c r="E90" t="n">
        <v>60</v>
      </c>
      <c r="F90" t="inlineStr">
        <is>
          <t>31-60 days</t>
        </is>
      </c>
      <c r="G90" t="n">
        <v>3472.55</v>
      </c>
    </row>
    <row r="91">
      <c r="A91" t="inlineStr">
        <is>
          <t>Pier 9 Fish House</t>
        </is>
      </c>
      <c r="B91" t="inlineStr">
        <is>
          <t>YS-31451</t>
        </is>
      </c>
      <c r="C91" t="inlineStr">
        <is>
          <t>2026-06-25</t>
        </is>
      </c>
      <c r="D91" t="inlineStr">
        <is>
          <t>2026-07-25</t>
        </is>
      </c>
      <c r="E91" t="n">
        <v>37</v>
      </c>
      <c r="F91" t="inlineStr">
        <is>
          <t>31-60 days</t>
        </is>
      </c>
      <c r="G91" t="n">
        <v>7275.07</v>
      </c>
    </row>
    <row r="92">
      <c r="A92" t="inlineStr">
        <is>
          <t>Pier 9 Fish House</t>
        </is>
      </c>
      <c r="B92" t="inlineStr">
        <is>
          <t>YS-31463</t>
        </is>
      </c>
      <c r="C92" t="inlineStr">
        <is>
          <t>2026-06-30</t>
        </is>
      </c>
      <c r="D92" t="inlineStr">
        <is>
          <t>2026-07-30</t>
        </is>
      </c>
      <c r="E92" t="n">
        <v>32</v>
      </c>
      <c r="F92" t="inlineStr">
        <is>
          <t>31-60 days</t>
        </is>
      </c>
      <c r="G92" t="n">
        <v>938.83</v>
      </c>
    </row>
    <row r="93">
      <c r="A93" t="inlineStr">
        <is>
          <t>Pier 9 Fish House</t>
        </is>
      </c>
      <c r="B93" t="inlineStr">
        <is>
          <t>YS-31504</t>
        </is>
      </c>
      <c r="C93" t="inlineStr">
        <is>
          <t>2026-07-18</t>
        </is>
      </c>
      <c r="D93" t="inlineStr">
        <is>
          <t>2026-08-17</t>
        </is>
      </c>
      <c r="E93" t="n">
        <v>14</v>
      </c>
      <c r="F93" t="inlineStr">
        <is>
          <t>1-30 days</t>
        </is>
      </c>
      <c r="G93" t="n">
        <v>5196.04</v>
      </c>
    </row>
    <row r="94">
      <c r="A94" t="inlineStr">
        <is>
          <t>Pier 9 Fish House</t>
        </is>
      </c>
      <c r="B94" t="inlineStr">
        <is>
          <t>YS-31512</t>
        </is>
      </c>
      <c r="C94" t="inlineStr">
        <is>
          <t>2026-07-23</t>
        </is>
      </c>
      <c r="D94" t="inlineStr">
        <is>
          <t>2026-08-22</t>
        </is>
      </c>
      <c r="E94" t="n">
        <v>9</v>
      </c>
      <c r="F94" t="inlineStr">
        <is>
          <t>1-30 days</t>
        </is>
      </c>
      <c r="G94" t="n">
        <v>2818.99</v>
      </c>
    </row>
    <row r="95">
      <c r="A95" t="inlineStr">
        <is>
          <t>Pier 9 Fish House</t>
        </is>
      </c>
      <c r="B95" t="inlineStr">
        <is>
          <t>YS-31525</t>
        </is>
      </c>
      <c r="C95" t="inlineStr">
        <is>
          <t>2026-07-28</t>
        </is>
      </c>
      <c r="D95" t="inlineStr">
        <is>
          <t>2026-08-27</t>
        </is>
      </c>
      <c r="E95" t="n">
        <v>4</v>
      </c>
      <c r="F95" t="inlineStr">
        <is>
          <t>1-30 days</t>
        </is>
      </c>
      <c r="G95" t="n">
        <v>2543.19</v>
      </c>
    </row>
    <row r="96">
      <c r="A96" t="inlineStr">
        <is>
          <t>Pier 9 Fish House</t>
        </is>
      </c>
      <c r="B96" t="inlineStr">
        <is>
          <t>YS-31550</t>
        </is>
      </c>
      <c r="C96" t="inlineStr">
        <is>
          <t>2026-08-08</t>
        </is>
      </c>
      <c r="D96" t="inlineStr">
        <is>
          <t>2026-09-07</t>
        </is>
      </c>
      <c r="E96" t="n">
        <v>-7</v>
      </c>
      <c r="F96" t="inlineStr">
        <is>
          <t>Current</t>
        </is>
      </c>
      <c r="G96" t="n">
        <v>7563.67</v>
      </c>
    </row>
    <row r="97">
      <c r="A97" t="inlineStr">
        <is>
          <t>Pier 9 Fish House</t>
        </is>
      </c>
      <c r="B97" t="inlineStr">
        <is>
          <t>YS-31559</t>
        </is>
      </c>
      <c r="C97" t="inlineStr">
        <is>
          <t>2026-08-13</t>
        </is>
      </c>
      <c r="D97" t="inlineStr">
        <is>
          <t>2026-09-12</t>
        </is>
      </c>
      <c r="E97" t="n">
        <v>-12</v>
      </c>
      <c r="F97" t="inlineStr">
        <is>
          <t>Current</t>
        </is>
      </c>
      <c r="G97" t="n">
        <v>6613.05</v>
      </c>
    </row>
    <row r="98">
      <c r="A98" t="inlineStr">
        <is>
          <t>Pier 9 Fish House</t>
        </is>
      </c>
      <c r="B98" t="inlineStr">
        <is>
          <t>YS-31574</t>
        </is>
      </c>
      <c r="C98" t="inlineStr">
        <is>
          <t>2026-08-19</t>
        </is>
      </c>
      <c r="D98" t="inlineStr">
        <is>
          <t>2026-09-18</t>
        </is>
      </c>
      <c r="E98" t="n">
        <v>-18</v>
      </c>
      <c r="F98" t="inlineStr">
        <is>
          <t>Current</t>
        </is>
      </c>
      <c r="G98" t="n">
        <v>2160.06</v>
      </c>
    </row>
    <row r="99">
      <c r="A99" t="inlineStr">
        <is>
          <t>Pier 9 Fish House</t>
        </is>
      </c>
      <c r="B99" t="inlineStr">
        <is>
          <t>YS-31583</t>
        </is>
      </c>
      <c r="C99" t="inlineStr">
        <is>
          <t>2026-08-23</t>
        </is>
      </c>
      <c r="D99" t="inlineStr">
        <is>
          <t>2026-09-22</t>
        </is>
      </c>
      <c r="E99" t="n">
        <v>-22</v>
      </c>
      <c r="F99" t="inlineStr">
        <is>
          <t>Current</t>
        </is>
      </c>
      <c r="G99" t="n">
        <v>4852.07</v>
      </c>
    </row>
    <row r="100">
      <c r="A100" t="inlineStr">
        <is>
          <t>Pier 9 Fish House</t>
        </is>
      </c>
      <c r="B100" t="inlineStr">
        <is>
          <t>YS-31597</t>
        </is>
      </c>
      <c r="C100" t="inlineStr">
        <is>
          <t>2026-08-29</t>
        </is>
      </c>
      <c r="D100" t="inlineStr">
        <is>
          <t>2026-09-28</t>
        </is>
      </c>
      <c r="E100" t="n">
        <v>-28</v>
      </c>
      <c r="F100" t="inlineStr">
        <is>
          <t>Current</t>
        </is>
      </c>
      <c r="G100" t="n">
        <v>1354.3</v>
      </c>
    </row>
    <row r="101">
      <c r="A101" t="inlineStr">
        <is>
          <t>Pier 9 Fish House</t>
        </is>
      </c>
      <c r="B101" t="inlineStr">
        <is>
          <t>YS-31602</t>
        </is>
      </c>
      <c r="C101" t="inlineStr">
        <is>
          <t>2026-08-31</t>
        </is>
      </c>
      <c r="D101" t="inlineStr">
        <is>
          <t>2026-09-30</t>
        </is>
      </c>
      <c r="E101" t="n">
        <v>-30</v>
      </c>
      <c r="F101" t="inlineStr">
        <is>
          <t>Current</t>
        </is>
      </c>
      <c r="G101" t="n">
        <v>3401.42</v>
      </c>
    </row>
    <row r="102">
      <c r="A102" t="inlineStr">
        <is>
          <t>Riverbend Bistro</t>
        </is>
      </c>
      <c r="B102" t="inlineStr">
        <is>
          <t>YS-31252</t>
        </is>
      </c>
      <c r="C102" t="inlineStr">
        <is>
          <t>2026-03-24</t>
        </is>
      </c>
      <c r="D102" t="inlineStr">
        <is>
          <t>2026-04-23</t>
        </is>
      </c>
      <c r="E102" t="n">
        <v>130</v>
      </c>
      <c r="F102" t="inlineStr">
        <is>
          <t>Over 90 days</t>
        </is>
      </c>
      <c r="G102" t="n">
        <v>3492.9</v>
      </c>
    </row>
    <row r="103">
      <c r="A103" t="inlineStr">
        <is>
          <t>Riverbend Bistro</t>
        </is>
      </c>
      <c r="B103" t="inlineStr">
        <is>
          <t>YS-31337</t>
        </is>
      </c>
      <c r="C103" t="inlineStr">
        <is>
          <t>2026-05-04</t>
        </is>
      </c>
      <c r="D103" t="inlineStr">
        <is>
          <t>2026-06-03</t>
        </is>
      </c>
      <c r="E103" t="n">
        <v>89</v>
      </c>
      <c r="F103" t="inlineStr">
        <is>
          <t>61-90 days</t>
        </is>
      </c>
      <c r="G103" t="n">
        <v>7291</v>
      </c>
    </row>
    <row r="104">
      <c r="A104" t="inlineStr">
        <is>
          <t>Riverbend Bistro</t>
        </is>
      </c>
      <c r="B104" t="inlineStr">
        <is>
          <t>YS-31380</t>
        </is>
      </c>
      <c r="C104" t="inlineStr">
        <is>
          <t>2026-05-24</t>
        </is>
      </c>
      <c r="D104" t="inlineStr">
        <is>
          <t>2026-06-23</t>
        </is>
      </c>
      <c r="E104" t="n">
        <v>69</v>
      </c>
      <c r="F104" t="inlineStr">
        <is>
          <t>61-90 days</t>
        </is>
      </c>
      <c r="G104" t="n">
        <v>7568.42</v>
      </c>
    </row>
    <row r="105">
      <c r="A105" t="inlineStr">
        <is>
          <t>Riverbend Bistro</t>
        </is>
      </c>
      <c r="B105" t="inlineStr">
        <is>
          <t>YS-31404</t>
        </is>
      </c>
      <c r="C105" t="inlineStr">
        <is>
          <t>2026-06-03</t>
        </is>
      </c>
      <c r="D105" t="inlineStr">
        <is>
          <t>2026-07-03</t>
        </is>
      </c>
      <c r="E105" t="n">
        <v>59</v>
      </c>
      <c r="F105" t="inlineStr">
        <is>
          <t>31-60 days</t>
        </is>
      </c>
      <c r="G105" t="n">
        <v>1065.37</v>
      </c>
    </row>
    <row r="106">
      <c r="A106" t="inlineStr">
        <is>
          <t>Riverbend Bistro</t>
        </is>
      </c>
      <c r="B106" t="inlineStr">
        <is>
          <t>YS-31421</t>
        </is>
      </c>
      <c r="C106" t="inlineStr">
        <is>
          <t>2026-06-13</t>
        </is>
      </c>
      <c r="D106" t="inlineStr">
        <is>
          <t>2026-07-13</t>
        </is>
      </c>
      <c r="E106" t="n">
        <v>49</v>
      </c>
      <c r="F106" t="inlineStr">
        <is>
          <t>31-60 days</t>
        </is>
      </c>
      <c r="G106" t="n">
        <v>2166.52</v>
      </c>
    </row>
    <row r="107">
      <c r="A107" t="inlineStr">
        <is>
          <t>Riverbend Bistro</t>
        </is>
      </c>
      <c r="B107" t="inlineStr">
        <is>
          <t>YS-31442</t>
        </is>
      </c>
      <c r="C107" t="inlineStr">
        <is>
          <t>2026-06-21</t>
        </is>
      </c>
      <c r="D107" t="inlineStr">
        <is>
          <t>2026-07-21</t>
        </is>
      </c>
      <c r="E107" t="n">
        <v>41</v>
      </c>
      <c r="F107" t="inlineStr">
        <is>
          <t>31-60 days</t>
        </is>
      </c>
      <c r="G107" t="n">
        <v>5982.7</v>
      </c>
    </row>
    <row r="108">
      <c r="A108" t="inlineStr">
        <is>
          <t>Riverbend Bistro</t>
        </is>
      </c>
      <c r="B108" t="inlineStr">
        <is>
          <t>YS-31457</t>
        </is>
      </c>
      <c r="C108" t="inlineStr">
        <is>
          <t>2026-06-28</t>
        </is>
      </c>
      <c r="D108" t="inlineStr">
        <is>
          <t>2026-07-28</t>
        </is>
      </c>
      <c r="E108" t="n">
        <v>34</v>
      </c>
      <c r="F108" t="inlineStr">
        <is>
          <t>31-60 days</t>
        </is>
      </c>
      <c r="G108" t="n">
        <v>3921.56</v>
      </c>
    </row>
    <row r="109">
      <c r="A109" t="inlineStr">
        <is>
          <t>Riverbend Bistro</t>
        </is>
      </c>
      <c r="B109" t="inlineStr">
        <is>
          <t>YS-31478</t>
        </is>
      </c>
      <c r="C109" t="inlineStr">
        <is>
          <t>2026-07-07</t>
        </is>
      </c>
      <c r="D109" t="inlineStr">
        <is>
          <t>2026-08-06</t>
        </is>
      </c>
      <c r="E109" t="n">
        <v>25</v>
      </c>
      <c r="F109" t="inlineStr">
        <is>
          <t>1-30 days</t>
        </is>
      </c>
      <c r="G109" t="n">
        <v>2737.81</v>
      </c>
    </row>
    <row r="110">
      <c r="A110" t="inlineStr">
        <is>
          <t>Riverbend Bistro</t>
        </is>
      </c>
      <c r="B110" t="inlineStr">
        <is>
          <t>YS-31483</t>
        </is>
      </c>
      <c r="C110" t="inlineStr">
        <is>
          <t>2026-07-09</t>
        </is>
      </c>
      <c r="D110" t="inlineStr">
        <is>
          <t>2026-08-08</t>
        </is>
      </c>
      <c r="E110" t="n">
        <v>23</v>
      </c>
      <c r="F110" t="inlineStr">
        <is>
          <t>1-30 days</t>
        </is>
      </c>
      <c r="G110" t="n">
        <v>3331.92</v>
      </c>
    </row>
    <row r="111">
      <c r="A111" t="inlineStr">
        <is>
          <t>Riverbend Bistro</t>
        </is>
      </c>
      <c r="B111" t="inlineStr">
        <is>
          <t>YS-31507</t>
        </is>
      </c>
      <c r="C111" t="inlineStr">
        <is>
          <t>2026-07-20</t>
        </is>
      </c>
      <c r="D111" t="inlineStr">
        <is>
          <t>2026-08-19</t>
        </is>
      </c>
      <c r="E111" t="n">
        <v>12</v>
      </c>
      <c r="F111" t="inlineStr">
        <is>
          <t>1-30 days</t>
        </is>
      </c>
      <c r="G111" t="n">
        <v>4661.82</v>
      </c>
    </row>
    <row r="112">
      <c r="A112" t="inlineStr">
        <is>
          <t>Riverbend Bistro</t>
        </is>
      </c>
      <c r="B112" t="inlineStr">
        <is>
          <t>YS-31509</t>
        </is>
      </c>
      <c r="C112" t="inlineStr">
        <is>
          <t>2026-07-22</t>
        </is>
      </c>
      <c r="D112" t="inlineStr">
        <is>
          <t>2026-08-21</t>
        </is>
      </c>
      <c r="E112" t="n">
        <v>10</v>
      </c>
      <c r="F112" t="inlineStr">
        <is>
          <t>1-30 days</t>
        </is>
      </c>
      <c r="G112" t="n">
        <v>1452.47</v>
      </c>
    </row>
    <row r="113">
      <c r="A113" t="inlineStr">
        <is>
          <t>Riverbend Bistro</t>
        </is>
      </c>
      <c r="B113" t="inlineStr">
        <is>
          <t>YS-31523</t>
        </is>
      </c>
      <c r="C113" t="inlineStr">
        <is>
          <t>2026-07-27</t>
        </is>
      </c>
      <c r="D113" t="inlineStr">
        <is>
          <t>2026-08-26</t>
        </is>
      </c>
      <c r="E113" t="n">
        <v>5</v>
      </c>
      <c r="F113" t="inlineStr">
        <is>
          <t>1-30 days</t>
        </is>
      </c>
      <c r="G113" t="n">
        <v>6268.9</v>
      </c>
    </row>
    <row r="114">
      <c r="A114" t="inlineStr">
        <is>
          <t>Riverbend Bistro</t>
        </is>
      </c>
      <c r="B114" t="inlineStr">
        <is>
          <t>YS-31532</t>
        </is>
      </c>
      <c r="C114" t="inlineStr">
        <is>
          <t>2026-07-31</t>
        </is>
      </c>
      <c r="D114" t="inlineStr">
        <is>
          <t>2026-08-30</t>
        </is>
      </c>
      <c r="E114" t="n">
        <v>1</v>
      </c>
      <c r="F114" t="inlineStr">
        <is>
          <t>1-30 days</t>
        </is>
      </c>
      <c r="G114" t="n">
        <v>7036.28</v>
      </c>
    </row>
    <row r="115">
      <c r="A115" t="inlineStr">
        <is>
          <t>Riverbend Bistro</t>
        </is>
      </c>
      <c r="B115" t="inlineStr">
        <is>
          <t>YS-31539</t>
        </is>
      </c>
      <c r="C115" t="inlineStr">
        <is>
          <t>2026-08-03</t>
        </is>
      </c>
      <c r="D115" t="inlineStr">
        <is>
          <t>2026-09-02</t>
        </is>
      </c>
      <c r="E115" t="n">
        <v>-2</v>
      </c>
      <c r="F115" t="inlineStr">
        <is>
          <t>Current</t>
        </is>
      </c>
      <c r="G115" t="n">
        <v>1771.12</v>
      </c>
    </row>
    <row r="116">
      <c r="A116" t="inlineStr">
        <is>
          <t>Riverbend Bistro</t>
        </is>
      </c>
      <c r="B116" t="inlineStr">
        <is>
          <t>YS-31552</t>
        </is>
      </c>
      <c r="C116" t="inlineStr">
        <is>
          <t>2026-08-09</t>
        </is>
      </c>
      <c r="D116" t="inlineStr">
        <is>
          <t>2026-09-08</t>
        </is>
      </c>
      <c r="E116" t="n">
        <v>-8</v>
      </c>
      <c r="F116" t="inlineStr">
        <is>
          <t>Current</t>
        </is>
      </c>
      <c r="G116" t="n">
        <v>7789.27</v>
      </c>
    </row>
    <row r="117">
      <c r="A117" t="inlineStr">
        <is>
          <t>Riverbend Bistro</t>
        </is>
      </c>
      <c r="B117" t="inlineStr">
        <is>
          <t>YS-31566</t>
        </is>
      </c>
      <c r="C117" t="inlineStr">
        <is>
          <t>2026-08-15</t>
        </is>
      </c>
      <c r="D117" t="inlineStr">
        <is>
          <t>2026-09-14</t>
        </is>
      </c>
      <c r="E117" t="n">
        <v>-14</v>
      </c>
      <c r="F117" t="inlineStr">
        <is>
          <t>Current</t>
        </is>
      </c>
      <c r="G117" t="n">
        <v>6241.75</v>
      </c>
    </row>
    <row r="118">
      <c r="A118" t="inlineStr">
        <is>
          <t>Riverbend Bistro</t>
        </is>
      </c>
      <c r="B118" t="inlineStr">
        <is>
          <t>YS-31575</t>
        </is>
      </c>
      <c r="C118" t="inlineStr">
        <is>
          <t>2026-08-19</t>
        </is>
      </c>
      <c r="D118" t="inlineStr">
        <is>
          <t>2026-09-18</t>
        </is>
      </c>
      <c r="E118" t="n">
        <v>-18</v>
      </c>
      <c r="F118" t="inlineStr">
        <is>
          <t>Current</t>
        </is>
      </c>
      <c r="G118" t="n">
        <v>7395.57</v>
      </c>
    </row>
    <row r="119">
      <c r="A119" t="inlineStr">
        <is>
          <t>Riverbend Bistro</t>
        </is>
      </c>
      <c r="B119" t="inlineStr">
        <is>
          <t>YS-31594</t>
        </is>
      </c>
      <c r="C119" t="inlineStr">
        <is>
          <t>2026-08-27</t>
        </is>
      </c>
      <c r="D119" t="inlineStr">
        <is>
          <t>2026-09-26</t>
        </is>
      </c>
      <c r="E119" t="n">
        <v>-26</v>
      </c>
      <c r="F119" t="inlineStr">
        <is>
          <t>Current</t>
        </is>
      </c>
      <c r="G119" t="n">
        <v>4196.43</v>
      </c>
    </row>
    <row r="120">
      <c r="A120" t="inlineStr">
        <is>
          <t>Tamarack Brewing</t>
        </is>
      </c>
      <c r="B120" t="inlineStr">
        <is>
          <t>YS-31370</t>
        </is>
      </c>
      <c r="C120" t="inlineStr">
        <is>
          <t>2026-05-21</t>
        </is>
      </c>
      <c r="D120" t="inlineStr">
        <is>
          <t>2026-06-20</t>
        </is>
      </c>
      <c r="E120" t="n">
        <v>72</v>
      </c>
      <c r="F120" t="inlineStr">
        <is>
          <t>61-90 days</t>
        </is>
      </c>
      <c r="G120" t="n">
        <v>1788.36</v>
      </c>
    </row>
    <row r="121">
      <c r="A121" t="inlineStr">
        <is>
          <t>Tamarack Brewing</t>
        </is>
      </c>
      <c r="B121" t="inlineStr">
        <is>
          <t>YS-31446</t>
        </is>
      </c>
      <c r="C121" t="inlineStr">
        <is>
          <t>2026-06-24</t>
        </is>
      </c>
      <c r="D121" t="inlineStr">
        <is>
          <t>2026-07-24</t>
        </is>
      </c>
      <c r="E121" t="n">
        <v>38</v>
      </c>
      <c r="F121" t="inlineStr">
        <is>
          <t>31-60 days</t>
        </is>
      </c>
      <c r="G121" t="n">
        <v>5465.2</v>
      </c>
    </row>
    <row r="122">
      <c r="A122" t="inlineStr">
        <is>
          <t>Tamarack Brewing</t>
        </is>
      </c>
      <c r="B122" t="inlineStr">
        <is>
          <t>YS-31516</t>
        </is>
      </c>
      <c r="C122" t="inlineStr">
        <is>
          <t>2026-07-24</t>
        </is>
      </c>
      <c r="D122" t="inlineStr">
        <is>
          <t>2026-08-23</t>
        </is>
      </c>
      <c r="E122" t="n">
        <v>8</v>
      </c>
      <c r="F122" t="inlineStr">
        <is>
          <t>1-30 days</t>
        </is>
      </c>
      <c r="G122" t="n">
        <v>2417.46</v>
      </c>
    </row>
    <row r="123">
      <c r="A123" t="inlineStr">
        <is>
          <t>Tamarack Brewing</t>
        </is>
      </c>
      <c r="B123" t="inlineStr">
        <is>
          <t>YS-31536</t>
        </is>
      </c>
      <c r="C123" t="inlineStr">
        <is>
          <t>2026-08-01</t>
        </is>
      </c>
      <c r="D123" t="inlineStr">
        <is>
          <t>2026-08-31</t>
        </is>
      </c>
      <c r="E123" t="n">
        <v>0</v>
      </c>
      <c r="F123" t="inlineStr">
        <is>
          <t>Current</t>
        </is>
      </c>
      <c r="G123" t="n">
        <v>7663.11</v>
      </c>
    </row>
    <row r="124">
      <c r="A124" t="inlineStr">
        <is>
          <t>Tamarack Brewing</t>
        </is>
      </c>
      <c r="B124" t="inlineStr">
        <is>
          <t>YS-31565</t>
        </is>
      </c>
      <c r="C124" t="inlineStr">
        <is>
          <t>2026-08-14</t>
        </is>
      </c>
      <c r="D124" t="inlineStr">
        <is>
          <t>2026-09-13</t>
        </is>
      </c>
      <c r="E124" t="n">
        <v>-13</v>
      </c>
      <c r="F124" t="inlineStr">
        <is>
          <t>Current</t>
        </is>
      </c>
      <c r="G124" t="n">
        <v>3196.24</v>
      </c>
    </row>
    <row r="125">
      <c r="A125" t="inlineStr">
        <is>
          <t>Tamarack Brewing</t>
        </is>
      </c>
      <c r="B125" t="inlineStr">
        <is>
          <t>YS-31578</t>
        </is>
      </c>
      <c r="C125" t="inlineStr">
        <is>
          <t>2026-08-20</t>
        </is>
      </c>
      <c r="D125" t="inlineStr">
        <is>
          <t>2026-09-19</t>
        </is>
      </c>
      <c r="E125" t="n">
        <v>-19</v>
      </c>
      <c r="F125" t="inlineStr">
        <is>
          <t>Current</t>
        </is>
      </c>
      <c r="G125" t="n">
        <v>5045.45</v>
      </c>
    </row>
    <row r="126">
      <c r="A126" t="inlineStr">
        <is>
          <t>Tamarack Brewing</t>
        </is>
      </c>
      <c r="B126" t="inlineStr">
        <is>
          <t>YS-31598</t>
        </is>
      </c>
      <c r="C126" t="inlineStr">
        <is>
          <t>2026-08-29</t>
        </is>
      </c>
      <c r="D126" t="inlineStr">
        <is>
          <t>2026-09-28</t>
        </is>
      </c>
      <c r="E126" t="n">
        <v>-28</v>
      </c>
      <c r="F126" t="inlineStr">
        <is>
          <t>Current</t>
        </is>
      </c>
      <c r="G126" t="n">
        <v>921.25</v>
      </c>
    </row>
    <row r="127">
      <c r="A127" t="inlineStr">
        <is>
          <t>The Saltwater Grill</t>
        </is>
      </c>
      <c r="B127" t="inlineStr">
        <is>
          <t>YS-31428</t>
        </is>
      </c>
      <c r="C127" t="inlineStr">
        <is>
          <t>2026-06-15</t>
        </is>
      </c>
      <c r="D127" t="inlineStr">
        <is>
          <t>2026-07-30</t>
        </is>
      </c>
      <c r="E127" t="n">
        <v>32</v>
      </c>
      <c r="F127" t="inlineStr">
        <is>
          <t>31-60 days</t>
        </is>
      </c>
      <c r="G127" t="n">
        <v>725.9299999999999</v>
      </c>
    </row>
    <row r="128">
      <c r="A128" t="inlineStr">
        <is>
          <t>The Saltwater Grill</t>
        </is>
      </c>
      <c r="B128" t="inlineStr">
        <is>
          <t>YS-31443</t>
        </is>
      </c>
      <c r="C128" t="inlineStr">
        <is>
          <t>2026-06-21</t>
        </is>
      </c>
      <c r="D128" t="inlineStr">
        <is>
          <t>2026-08-05</t>
        </is>
      </c>
      <c r="E128" t="n">
        <v>26</v>
      </c>
      <c r="F128" t="inlineStr">
        <is>
          <t>1-30 days</t>
        </is>
      </c>
      <c r="G128" t="n">
        <v>6926.75</v>
      </c>
    </row>
    <row r="129">
      <c r="A129" t="inlineStr">
        <is>
          <t>The Saltwater Grill</t>
        </is>
      </c>
      <c r="B129" t="inlineStr">
        <is>
          <t>YS-31465</t>
        </is>
      </c>
      <c r="C129" t="inlineStr">
        <is>
          <t>2026-07-01</t>
        </is>
      </c>
      <c r="D129" t="inlineStr">
        <is>
          <t>2026-08-15</t>
        </is>
      </c>
      <c r="E129" t="n">
        <v>16</v>
      </c>
      <c r="F129" t="inlineStr">
        <is>
          <t>1-30 days</t>
        </is>
      </c>
      <c r="G129" t="n">
        <v>10830.29</v>
      </c>
    </row>
    <row r="130">
      <c r="A130" t="inlineStr">
        <is>
          <t>The Saltwater Grill</t>
        </is>
      </c>
      <c r="B130" t="inlineStr">
        <is>
          <t>YS-31469</t>
        </is>
      </c>
      <c r="C130" t="inlineStr">
        <is>
          <t>2026-07-03</t>
        </is>
      </c>
      <c r="D130" t="inlineStr">
        <is>
          <t>2026-08-17</t>
        </is>
      </c>
      <c r="E130" t="n">
        <v>14</v>
      </c>
      <c r="F130" t="inlineStr">
        <is>
          <t>1-30 days</t>
        </is>
      </c>
      <c r="G130" t="n">
        <v>7915.23</v>
      </c>
    </row>
    <row r="131">
      <c r="A131" t="inlineStr">
        <is>
          <t>The Saltwater Grill</t>
        </is>
      </c>
      <c r="B131" t="inlineStr">
        <is>
          <t>YS-31508</t>
        </is>
      </c>
      <c r="C131" t="inlineStr">
        <is>
          <t>2026-07-20</t>
        </is>
      </c>
      <c r="D131" t="inlineStr">
        <is>
          <t>2026-09-03</t>
        </is>
      </c>
      <c r="E131" t="n">
        <v>-3</v>
      </c>
      <c r="F131" t="inlineStr">
        <is>
          <t>Current</t>
        </is>
      </c>
      <c r="G131" t="n">
        <v>4848.89</v>
      </c>
    </row>
    <row r="132">
      <c r="A132" t="inlineStr">
        <is>
          <t>The Saltwater Grill</t>
        </is>
      </c>
      <c r="B132" t="inlineStr">
        <is>
          <t>YS-31513</t>
        </is>
      </c>
      <c r="C132" t="inlineStr">
        <is>
          <t>2026-07-23</t>
        </is>
      </c>
      <c r="D132" t="inlineStr">
        <is>
          <t>2026-09-06</t>
        </is>
      </c>
      <c r="E132" t="n">
        <v>-6</v>
      </c>
      <c r="F132" t="inlineStr">
        <is>
          <t>Current</t>
        </is>
      </c>
      <c r="G132" t="n">
        <v>8418.85</v>
      </c>
    </row>
    <row r="133">
      <c r="A133" t="inlineStr">
        <is>
          <t>The Saltwater Grill</t>
        </is>
      </c>
      <c r="B133" t="inlineStr">
        <is>
          <t>YS-31518</t>
        </is>
      </c>
      <c r="C133" t="inlineStr">
        <is>
          <t>2026-07-25</t>
        </is>
      </c>
      <c r="D133" t="inlineStr">
        <is>
          <t>2026-09-08</t>
        </is>
      </c>
      <c r="E133" t="n">
        <v>-8</v>
      </c>
      <c r="F133" t="inlineStr">
        <is>
          <t>Current</t>
        </is>
      </c>
      <c r="G133" t="n">
        <v>7532.06</v>
      </c>
    </row>
    <row r="134">
      <c r="A134" t="inlineStr">
        <is>
          <t>The Saltwater Grill</t>
        </is>
      </c>
      <c r="B134" t="inlineStr">
        <is>
          <t>YS-31526</t>
        </is>
      </c>
      <c r="C134" t="inlineStr">
        <is>
          <t>2026-07-28</t>
        </is>
      </c>
      <c r="D134" t="inlineStr">
        <is>
          <t>2026-09-11</t>
        </is>
      </c>
      <c r="E134" t="n">
        <v>-11</v>
      </c>
      <c r="F134" t="inlineStr">
        <is>
          <t>Current</t>
        </is>
      </c>
      <c r="G134" t="n">
        <v>10765.87</v>
      </c>
    </row>
    <row r="135">
      <c r="A135" t="inlineStr">
        <is>
          <t>The Saltwater Grill</t>
        </is>
      </c>
      <c r="B135" t="inlineStr">
        <is>
          <t>YS-31530</t>
        </is>
      </c>
      <c r="C135" t="inlineStr">
        <is>
          <t>2026-07-30</t>
        </is>
      </c>
      <c r="D135" t="inlineStr">
        <is>
          <t>2026-09-13</t>
        </is>
      </c>
      <c r="E135" t="n">
        <v>-13</v>
      </c>
      <c r="F135" t="inlineStr">
        <is>
          <t>Current</t>
        </is>
      </c>
      <c r="G135" t="n">
        <v>5613.81</v>
      </c>
    </row>
    <row r="136">
      <c r="A136" t="inlineStr">
        <is>
          <t>The Saltwater Grill</t>
        </is>
      </c>
      <c r="B136" t="inlineStr">
        <is>
          <t>YS-31538</t>
        </is>
      </c>
      <c r="C136" t="inlineStr">
        <is>
          <t>2026-08-02</t>
        </is>
      </c>
      <c r="D136" t="inlineStr">
        <is>
          <t>2026-09-16</t>
        </is>
      </c>
      <c r="E136" t="n">
        <v>-16</v>
      </c>
      <c r="F136" t="inlineStr">
        <is>
          <t>Current</t>
        </is>
      </c>
      <c r="G136" t="n">
        <v>2629.24</v>
      </c>
    </row>
    <row r="137">
      <c r="A137" t="inlineStr">
        <is>
          <t>The Saltwater Grill</t>
        </is>
      </c>
      <c r="B137" t="inlineStr">
        <is>
          <t>YS-31541</t>
        </is>
      </c>
      <c r="C137" t="inlineStr">
        <is>
          <t>2026-08-04</t>
        </is>
      </c>
      <c r="D137" t="inlineStr">
        <is>
          <t>2026-09-18</t>
        </is>
      </c>
      <c r="E137" t="n">
        <v>-18</v>
      </c>
      <c r="F137" t="inlineStr">
        <is>
          <t>Current</t>
        </is>
      </c>
      <c r="G137" t="n">
        <v>5583.14</v>
      </c>
    </row>
    <row r="138">
      <c r="A138" t="inlineStr">
        <is>
          <t>The Saltwater Grill</t>
        </is>
      </c>
      <c r="B138" t="inlineStr">
        <is>
          <t>YS-31546</t>
        </is>
      </c>
      <c r="C138" t="inlineStr">
        <is>
          <t>2026-08-06</t>
        </is>
      </c>
      <c r="D138" t="inlineStr">
        <is>
          <t>2026-09-20</t>
        </is>
      </c>
      <c r="E138" t="n">
        <v>-20</v>
      </c>
      <c r="F138" t="inlineStr">
        <is>
          <t>Current</t>
        </is>
      </c>
      <c r="G138" t="n">
        <v>12170.64</v>
      </c>
    </row>
    <row r="139">
      <c r="A139" t="inlineStr">
        <is>
          <t>The Saltwater Grill</t>
        </is>
      </c>
      <c r="B139" t="inlineStr">
        <is>
          <t>YS-31554</t>
        </is>
      </c>
      <c r="C139" t="inlineStr">
        <is>
          <t>2026-08-10</t>
        </is>
      </c>
      <c r="D139" t="inlineStr">
        <is>
          <t>2026-09-24</t>
        </is>
      </c>
      <c r="E139" t="n">
        <v>-24</v>
      </c>
      <c r="F139" t="inlineStr">
        <is>
          <t>Current</t>
        </is>
      </c>
      <c r="G139" t="n">
        <v>9324.129999999999</v>
      </c>
    </row>
    <row r="140">
      <c r="A140" t="inlineStr">
        <is>
          <t>The Saltwater Grill</t>
        </is>
      </c>
      <c r="B140" t="inlineStr">
        <is>
          <t>YS-31558</t>
        </is>
      </c>
      <c r="C140" t="inlineStr">
        <is>
          <t>2026-08-12</t>
        </is>
      </c>
      <c r="D140" t="inlineStr">
        <is>
          <t>2026-09-26</t>
        </is>
      </c>
      <c r="E140" t="n">
        <v>-26</v>
      </c>
      <c r="F140" t="inlineStr">
        <is>
          <t>Current</t>
        </is>
      </c>
      <c r="G140" t="n">
        <v>2609.34</v>
      </c>
    </row>
    <row r="141">
      <c r="A141" t="inlineStr">
        <is>
          <t>The Saltwater Grill</t>
        </is>
      </c>
      <c r="B141" t="inlineStr">
        <is>
          <t>YS-31567</t>
        </is>
      </c>
      <c r="C141" t="inlineStr">
        <is>
          <t>2026-08-15</t>
        </is>
      </c>
      <c r="D141" t="inlineStr">
        <is>
          <t>2026-09-29</t>
        </is>
      </c>
      <c r="E141" t="n">
        <v>-29</v>
      </c>
      <c r="F141" t="inlineStr">
        <is>
          <t>Current</t>
        </is>
      </c>
      <c r="G141" t="n">
        <v>3122.75</v>
      </c>
    </row>
    <row r="142">
      <c r="A142" t="inlineStr">
        <is>
          <t>The Saltwater Grill</t>
        </is>
      </c>
      <c r="B142" t="inlineStr">
        <is>
          <t>YS-31573</t>
        </is>
      </c>
      <c r="C142" t="inlineStr">
        <is>
          <t>2026-08-18</t>
        </is>
      </c>
      <c r="D142" t="inlineStr">
        <is>
          <t>2026-10-02</t>
        </is>
      </c>
      <c r="E142" t="n">
        <v>-32</v>
      </c>
      <c r="F142" t="inlineStr">
        <is>
          <t>Current</t>
        </is>
      </c>
      <c r="G142" t="n">
        <v>8901.459999999999</v>
      </c>
    </row>
    <row r="143">
      <c r="A143" t="inlineStr">
        <is>
          <t>The Saltwater Grill</t>
        </is>
      </c>
      <c r="B143" t="inlineStr">
        <is>
          <t>YS-31584</t>
        </is>
      </c>
      <c r="C143" t="inlineStr">
        <is>
          <t>2026-08-23</t>
        </is>
      </c>
      <c r="D143" t="inlineStr">
        <is>
          <t>2026-10-07</t>
        </is>
      </c>
      <c r="E143" t="n">
        <v>-37</v>
      </c>
      <c r="F143" t="inlineStr">
        <is>
          <t>Current</t>
        </is>
      </c>
      <c r="G143" t="n">
        <v>6980.88</v>
      </c>
    </row>
    <row r="144">
      <c r="A144" t="inlineStr">
        <is>
          <t>The Saltwater Grill</t>
        </is>
      </c>
      <c r="B144" t="inlineStr">
        <is>
          <t>YS-31589</t>
        </is>
      </c>
      <c r="C144" t="inlineStr">
        <is>
          <t>2026-08-25</t>
        </is>
      </c>
      <c r="D144" t="inlineStr">
        <is>
          <t>2026-10-09</t>
        </is>
      </c>
      <c r="E144" t="n">
        <v>-39</v>
      </c>
      <c r="F144" t="inlineStr">
        <is>
          <t>Current</t>
        </is>
      </c>
      <c r="G144" t="n">
        <v>8828.24</v>
      </c>
    </row>
    <row r="145">
      <c r="A145" t="inlineStr">
        <is>
          <t>The Saltwater Grill</t>
        </is>
      </c>
      <c r="B145" t="inlineStr">
        <is>
          <t>YS-31596</t>
        </is>
      </c>
      <c r="C145" t="inlineStr">
        <is>
          <t>2026-08-28</t>
        </is>
      </c>
      <c r="D145" t="inlineStr">
        <is>
          <t>2026-10-12</t>
        </is>
      </c>
      <c r="E145" t="n">
        <v>-42</v>
      </c>
      <c r="F145" t="inlineStr">
        <is>
          <t>Current</t>
        </is>
      </c>
      <c r="G145" t="n">
        <v>9072.16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reference</dc:creator>
  <dcterms:created xsi:type="dcterms:W3CDTF">2026-01-15T09:00:00Z</dcterms:created>
  <dcterms:modified xsi:type="dcterms:W3CDTF">2026-01-15T09:00:00Z</dcterms:modified>
  <cp:lastModifiedBy>reference</cp:lastModifiedBy>
</cp:coreProperties>
</file>