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6" customWidth="1" min="6" max="6"/>
    <col width="16" customWidth="1" min="7" max="7"/>
    <col width="16" customWidth="1" min="8" max="8"/>
    <col width="20" customWidth="1" min="9" max="9"/>
    <col width="16" customWidth="1" min="12" max="12"/>
    <col width="18" customWidth="1" min="13" max="13"/>
  </cols>
  <sheetData>
    <row r="1">
      <c r="A1" s="1" t="inlineStr">
        <is>
          <t>Due date</t>
        </is>
      </c>
      <c r="B1" s="1" t="inlineStr">
        <is>
          <t>Posted</t>
        </is>
      </c>
      <c r="C1" s="1" t="inlineStr">
        <is>
          <t>Type</t>
        </is>
      </c>
      <c r="D1" s="1" t="inlineStr">
        <is>
          <t>Payment</t>
        </is>
      </c>
      <c r="E1" s="1" t="inlineStr">
        <is>
          <t>Rate</t>
        </is>
      </c>
      <c r="F1" s="1" t="inlineStr">
        <is>
          <t>Opening balance</t>
        </is>
      </c>
      <c r="G1" s="1" t="inlineStr">
        <is>
          <t>Interest (per note)</t>
        </is>
      </c>
      <c r="H1" s="1" t="inlineStr">
        <is>
          <t>Principal (per note)</t>
        </is>
      </c>
      <c r="I1" s="1" t="inlineStr">
        <is>
          <t>Closing balance (per note)</t>
        </is>
      </c>
      <c r="J1" s="1" t="inlineStr">
        <is>
          <t>Lender interest</t>
        </is>
      </c>
      <c r="K1" s="1" t="inlineStr">
        <is>
          <t>Lender principal</t>
        </is>
      </c>
      <c r="L1" s="1" t="inlineStr">
        <is>
          <t>Lender balance</t>
        </is>
      </c>
      <c r="M1" s="1" t="inlineStr">
        <is>
          <t>Interest difference</t>
        </is>
      </c>
    </row>
    <row r="2">
      <c r="A2" t="inlineStr">
        <is>
          <t>2026-01-01</t>
        </is>
      </c>
      <c r="B2" t="inlineStr">
        <is>
          <t>2026-01-02</t>
        </is>
      </c>
      <c r="C2" t="inlineStr">
        <is>
          <t>Regular payment</t>
        </is>
      </c>
      <c r="D2" s="2" t="n">
        <v>2502.81</v>
      </c>
      <c r="E2" t="n">
        <v>0.06850000000000001</v>
      </c>
      <c r="F2" s="2" t="n">
        <v>199991.89</v>
      </c>
      <c r="G2">
        <f>ROUND(F2*E2/12,2)</f>
        <v/>
      </c>
      <c r="H2">
        <f>D2-G2</f>
        <v/>
      </c>
      <c r="I2">
        <f>F2-H2</f>
        <v/>
      </c>
      <c r="J2" s="2" t="n">
        <v>1141.62</v>
      </c>
      <c r="K2" s="2" t="n">
        <v>1361.19</v>
      </c>
      <c r="L2" s="2" t="n">
        <v>198630.7</v>
      </c>
      <c r="M2">
        <f>J2-G2</f>
        <v/>
      </c>
    </row>
    <row r="3">
      <c r="A3" t="inlineStr">
        <is>
          <t>2026-02-01</t>
        </is>
      </c>
      <c r="B3" t="inlineStr">
        <is>
          <t>2026-02-02</t>
        </is>
      </c>
      <c r="C3" t="inlineStr">
        <is>
          <t>Regular payment</t>
        </is>
      </c>
      <c r="D3" s="2" t="n">
        <v>2502.81</v>
      </c>
      <c r="E3" t="n">
        <v>0.06850000000000001</v>
      </c>
      <c r="F3">
        <f>I2</f>
        <v/>
      </c>
      <c r="G3">
        <f>ROUND(F3*E3/12,2)</f>
        <v/>
      </c>
      <c r="H3">
        <f>D3-G3</f>
        <v/>
      </c>
      <c r="I3">
        <f>F3-H3</f>
        <v/>
      </c>
      <c r="J3" s="2" t="n">
        <v>1133.85</v>
      </c>
      <c r="K3" s="2" t="n">
        <v>1368.96</v>
      </c>
      <c r="L3" s="2" t="n">
        <v>197261.74</v>
      </c>
      <c r="M3">
        <f>J3-G3</f>
        <v/>
      </c>
    </row>
    <row r="4">
      <c r="A4" t="inlineStr">
        <is>
          <t>2026-03-01</t>
        </is>
      </c>
      <c r="B4" t="inlineStr">
        <is>
          <t>2026-03-02</t>
        </is>
      </c>
      <c r="C4" t="inlineStr">
        <is>
          <t>Regular payment</t>
        </is>
      </c>
      <c r="D4" s="2" t="n">
        <v>2502.81</v>
      </c>
      <c r="E4" t="n">
        <v>0.06850000000000001</v>
      </c>
      <c r="F4">
        <f>I3</f>
        <v/>
      </c>
      <c r="G4">
        <f>ROUND(F4*E4/12,2)</f>
        <v/>
      </c>
      <c r="H4">
        <f>D4-G4</f>
        <v/>
      </c>
      <c r="I4">
        <f>F4-H4</f>
        <v/>
      </c>
      <c r="J4" s="2" t="n">
        <v>1249.32</v>
      </c>
      <c r="K4" s="2" t="n">
        <v>1253.49</v>
      </c>
      <c r="L4" s="2" t="n">
        <v>196008.25</v>
      </c>
      <c r="M4">
        <f>J4-G4</f>
        <v/>
      </c>
    </row>
    <row r="5">
      <c r="A5" t="inlineStr">
        <is>
          <t>2026-04-01</t>
        </is>
      </c>
      <c r="B5" t="inlineStr">
        <is>
          <t>2026-04-01</t>
        </is>
      </c>
      <c r="C5" t="inlineStr">
        <is>
          <t>Regular payment</t>
        </is>
      </c>
      <c r="D5" s="2" t="n">
        <v>2577.17</v>
      </c>
      <c r="E5" t="n">
        <v>0.076</v>
      </c>
      <c r="F5">
        <f>I4</f>
        <v/>
      </c>
      <c r="G5">
        <f>ROUND(F5*E5/12,2)</f>
        <v/>
      </c>
      <c r="H5">
        <f>D5-G5</f>
        <v/>
      </c>
      <c r="I5">
        <f>F5-H5</f>
        <v/>
      </c>
      <c r="J5" s="2" t="n">
        <v>1241.39</v>
      </c>
      <c r="K5" s="2" t="n">
        <v>1335.78</v>
      </c>
      <c r="L5" s="2" t="n">
        <v>194672.47</v>
      </c>
      <c r="M5">
        <f>J5-G5</f>
        <v/>
      </c>
    </row>
    <row r="6">
      <c r="A6" t="inlineStr">
        <is>
          <t>2026-05-01</t>
        </is>
      </c>
      <c r="B6" t="inlineStr">
        <is>
          <t>2026-05-01</t>
        </is>
      </c>
      <c r="C6" t="inlineStr">
        <is>
          <t>Regular payment</t>
        </is>
      </c>
      <c r="D6" s="2" t="n">
        <v>2577.17</v>
      </c>
      <c r="E6" t="n">
        <v>0.076</v>
      </c>
      <c r="F6">
        <f>I5</f>
        <v/>
      </c>
      <c r="G6">
        <f>ROUND(F6*E6/12,2)</f>
        <v/>
      </c>
      <c r="H6">
        <f>D6-G6</f>
        <v/>
      </c>
      <c r="I6">
        <f>F6-H6</f>
        <v/>
      </c>
      <c r="J6" s="2" t="n">
        <v>1232.93</v>
      </c>
      <c r="K6" s="2" t="n">
        <v>1344.24</v>
      </c>
      <c r="L6" s="2" t="n">
        <v>193328.23</v>
      </c>
      <c r="M6">
        <f>J6-G6</f>
        <v/>
      </c>
    </row>
    <row r="7">
      <c r="B7" t="inlineStr">
        <is>
          <t>2026-05-15</t>
        </is>
      </c>
      <c r="C7" t="inlineStr">
        <is>
          <t>Additional principal</t>
        </is>
      </c>
      <c r="D7" s="2" t="n">
        <v>10000</v>
      </c>
      <c r="F7">
        <f>I6</f>
        <v/>
      </c>
      <c r="G7" s="2" t="n">
        <v>0</v>
      </c>
      <c r="H7">
        <f>D7-G7</f>
        <v/>
      </c>
      <c r="I7">
        <f>F7-H7</f>
        <v/>
      </c>
      <c r="J7" s="2" t="n">
        <v>0</v>
      </c>
      <c r="K7" s="2" t="n">
        <v>10000</v>
      </c>
      <c r="L7" s="2" t="n">
        <v>183328.23</v>
      </c>
      <c r="M7">
        <f>J7-G7</f>
        <v/>
      </c>
    </row>
    <row r="8">
      <c r="A8" t="inlineStr">
        <is>
          <t>2026-06-01</t>
        </is>
      </c>
      <c r="B8" t="inlineStr">
        <is>
          <t>2026-06-01</t>
        </is>
      </c>
      <c r="C8" t="inlineStr">
        <is>
          <t>Regular payment</t>
        </is>
      </c>
      <c r="D8" s="2" t="n">
        <v>2577.17</v>
      </c>
      <c r="E8" t="n">
        <v>0.076</v>
      </c>
      <c r="F8">
        <f>I7</f>
        <v/>
      </c>
      <c r="G8">
        <f>ROUND(F8*E8/12,2)</f>
        <v/>
      </c>
      <c r="H8">
        <f>D8-G8</f>
        <v/>
      </c>
      <c r="I8">
        <f>F8-H8</f>
        <v/>
      </c>
      <c r="J8" s="2" t="n">
        <v>1161.08</v>
      </c>
      <c r="K8" s="2" t="n">
        <v>1416.09</v>
      </c>
      <c r="L8" s="2" t="n">
        <v>181912.14</v>
      </c>
      <c r="M8">
        <f>J8-G8</f>
        <v/>
      </c>
    </row>
    <row r="9">
      <c r="A9" t="inlineStr">
        <is>
          <t>2026-07-01</t>
        </is>
      </c>
      <c r="B9" t="inlineStr">
        <is>
          <t>2026-07-01</t>
        </is>
      </c>
      <c r="C9" t="inlineStr">
        <is>
          <t>Regular payment</t>
        </is>
      </c>
      <c r="D9" s="2" t="n">
        <v>2577.17</v>
      </c>
      <c r="E9" t="n">
        <v>0.076</v>
      </c>
      <c r="F9">
        <f>I8</f>
        <v/>
      </c>
      <c r="G9">
        <f>ROUND(F9*E9/12,2)</f>
        <v/>
      </c>
      <c r="H9">
        <f>D9-G9</f>
        <v/>
      </c>
      <c r="I9">
        <f>F9-H9</f>
        <v/>
      </c>
      <c r="J9" s="2" t="n">
        <v>1152.11</v>
      </c>
      <c r="K9" s="2" t="n">
        <v>1425.06</v>
      </c>
      <c r="L9" s="2" t="n">
        <v>180487.08</v>
      </c>
      <c r="M9">
        <f>J9-G9</f>
        <v/>
      </c>
    </row>
    <row r="10">
      <c r="A10" t="inlineStr">
        <is>
          <t>2026-08-01</t>
        </is>
      </c>
      <c r="B10" t="inlineStr">
        <is>
          <t>2026-08-03</t>
        </is>
      </c>
      <c r="C10" t="inlineStr">
        <is>
          <t>Regular payment</t>
        </is>
      </c>
      <c r="D10" s="2" t="n">
        <v>2577.17</v>
      </c>
      <c r="E10" t="n">
        <v>0.076</v>
      </c>
      <c r="F10">
        <f>I9</f>
        <v/>
      </c>
      <c r="G10">
        <f>ROUND(F10*E10/12,2)</f>
        <v/>
      </c>
      <c r="H10">
        <f>D10-G10</f>
        <v/>
      </c>
      <c r="I10">
        <f>F10-H10</f>
        <v/>
      </c>
      <c r="J10" s="2" t="n">
        <v>1143.08</v>
      </c>
      <c r="K10" s="2" t="n">
        <v>1434.09</v>
      </c>
      <c r="L10" s="2" t="n">
        <v>179052.99</v>
      </c>
      <c r="M10">
        <f>J10-G10</f>
        <v/>
      </c>
    </row>
    <row r="11">
      <c r="A11" t="inlineStr">
        <is>
          <t>Total Jan-Aug 2026</t>
        </is>
      </c>
      <c r="D11">
        <f>SUM(D2:D10)</f>
        <v/>
      </c>
      <c r="G11">
        <f>SUM(G2:G10)</f>
        <v/>
      </c>
      <c r="H11">
        <f>SUM(H2:H10)</f>
        <v/>
      </c>
      <c r="J11">
        <f>SUM(J2:J10)</f>
        <v/>
      </c>
      <c r="K11">
        <f>SUM(K2:K10)</f>
        <v/>
      </c>
      <c r="M11">
        <f>SUM(M2:M10)</f>
        <v/>
      </c>
    </row>
    <row r="12"/>
    <row r="13">
      <c r="A13" t="inlineStr">
        <is>
          <t>Principal balance after the August payment, per the note</t>
        </is>
      </c>
      <c r="I13">
        <f>I10</f>
        <v/>
      </c>
    </row>
    <row r="14">
      <c r="A14" t="inlineStr">
        <is>
          <t>Principal balance after the August payment, per the credit union</t>
        </is>
      </c>
      <c r="L14">
        <f>L10</f>
        <v/>
      </c>
    </row>
    <row r="15">
      <c r="A15" t="inlineStr">
        <is>
          <t>Interest overcharged by the credit union</t>
        </is>
      </c>
      <c r="M15">
        <f>M11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Mossbank CPA</dc:creator>
  <dcterms:created xsi:type="dcterms:W3CDTF">2026-01-15T09:00:00Z</dcterms:created>
  <dcterms:modified xsi:type="dcterms:W3CDTF">2026-01-15T09:00:00Z</dcterms:modified>
  <cp:lastModifiedBy>Mossbank CPA</cp:lastModifiedBy>
</cp:coreProperties>
</file>