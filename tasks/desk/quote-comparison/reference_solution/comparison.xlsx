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20" customWidth="1" min="3" max="3"/>
    <col width="6" customWidth="1" min="4" max="4"/>
    <col width="26" customWidth="1" min="5" max="5"/>
    <col width="20" customWidth="1" min="6" max="6"/>
    <col width="18" customWidth="1" min="7" max="7"/>
    <col width="22" customWidth="1" min="8" max="8"/>
    <col width="10" customWidth="1" min="9" max="9"/>
    <col width="22" customWidth="1" min="10" max="10"/>
    <col width="16" customWidth="1" min="11" max="11"/>
    <col width="26" customWidth="1" min="12" max="12"/>
    <col width="16" customWidth="1" min="13" max="13"/>
    <col width="70" customWidth="1" min="14" max="14"/>
  </cols>
  <sheetData>
    <row r="1">
      <c r="A1" s="1" t="inlineStr">
        <is>
          <t>Vendor</t>
        </is>
      </c>
      <c r="B1" s="1" t="inlineStr">
        <is>
          <t>Currency</t>
        </is>
      </c>
      <c r="C1" s="1" t="inlineStr">
        <is>
          <t>Unit price (quote ccy)</t>
        </is>
      </c>
      <c r="D1" s="1" t="inlineStr">
        <is>
          <t>Qty</t>
        </is>
      </c>
      <c r="E1" s="1" t="inlineStr">
        <is>
          <t>Equipment subtotal (quote ccy)</t>
        </is>
      </c>
      <c r="F1" s="1" t="inlineStr">
        <is>
          <t>Setup fee (quote ccy)</t>
        </is>
      </c>
      <c r="G1" s="1" t="inlineStr">
        <is>
          <t>Freight (quote ccy)</t>
        </is>
      </c>
      <c r="H1" s="1" t="inlineStr">
        <is>
          <t>Quote total (quote ccy)</t>
        </is>
      </c>
      <c r="I1" s="1" t="inlineStr">
        <is>
          <t>FX to USD</t>
        </is>
      </c>
      <c r="J1" s="1" t="inlineStr">
        <is>
          <t>Delivered total (USD)</t>
        </is>
      </c>
      <c r="K1" s="1" t="inlineStr">
        <is>
          <t>Warranty (months)</t>
        </is>
      </c>
      <c r="L1" s="1" t="inlineStr">
        <is>
          <t>Warranty type</t>
        </is>
      </c>
      <c r="M1" s="1" t="inlineStr">
        <is>
          <t>Lead time</t>
        </is>
      </c>
      <c r="N1" s="1" t="inlineStr">
        <is>
          <t>Notes</t>
        </is>
      </c>
    </row>
    <row r="2">
      <c r="A2" t="inlineStr">
        <is>
          <t>Northstar Technology Partners</t>
        </is>
      </c>
      <c r="B2" t="inlineStr">
        <is>
          <t>USD</t>
        </is>
      </c>
      <c r="C2" t="n">
        <v>1255</v>
      </c>
      <c r="D2" t="n">
        <v>40</v>
      </c>
      <c r="E2">
        <f>C2*D2</f>
        <v/>
      </c>
      <c r="F2" t="n">
        <v>0</v>
      </c>
      <c r="G2" t="n">
        <v>635</v>
      </c>
      <c r="H2">
        <f>E2+F2+G2</f>
        <v/>
      </c>
      <c r="I2" t="n">
        <v>1</v>
      </c>
      <c r="J2">
        <f>H2*I2</f>
        <v/>
      </c>
      <c r="K2" t="n">
        <v>24</v>
      </c>
      <c r="L2" t="inlineStr">
        <is>
          <t>Depot (return-to-depot)</t>
        </is>
      </c>
      <c r="M2" t="inlineStr">
        <is>
          <t>10 business days</t>
        </is>
      </c>
      <c r="N2" t="inlineStr">
        <is>
          <t>3% early-payment discount ($1,506.00) only if paid within 10 days; not applied.</t>
        </is>
      </c>
    </row>
    <row r="3">
      <c r="A3" t="inlineStr">
        <is>
          <t>Kestrel Systems GmbH</t>
        </is>
      </c>
      <c r="B3" t="inlineStr">
        <is>
          <t>EUR</t>
        </is>
      </c>
      <c r="C3" t="n">
        <v>1231</v>
      </c>
      <c r="D3" t="n">
        <v>40</v>
      </c>
      <c r="E3">
        <f>C3*D3</f>
        <v/>
      </c>
      <c r="F3" t="n">
        <v>0</v>
      </c>
      <c r="G3" t="n">
        <v>0</v>
      </c>
      <c r="H3">
        <f>E3+F3+G3</f>
        <v/>
      </c>
      <c r="I3" t="n">
        <v>1.08</v>
      </c>
      <c r="J3">
        <f>H3*I3</f>
        <v/>
      </c>
      <c r="K3" t="n">
        <v>12</v>
      </c>
      <c r="L3" t="inlineStr">
        <is>
          <t>Bring-in (return to Hamburg)</t>
        </is>
      </c>
      <c r="M3" t="inlineStr">
        <is>
          <t>3-4 weeks</t>
        </is>
      </c>
      <c r="N3" t="inlineStr">
        <is>
          <t>40+ tier applies (EUR 1.205,00-style pricing); shipping included (DAP); converted at 1.08.</t>
        </is>
      </c>
    </row>
    <row r="4">
      <c r="A4" t="inlineStr">
        <is>
          <t>Bluepine Computing</t>
        </is>
      </c>
      <c r="B4" t="inlineStr">
        <is>
          <t>USD</t>
        </is>
      </c>
      <c r="C4" t="n">
        <v>1195</v>
      </c>
      <c r="D4" t="n">
        <v>40</v>
      </c>
      <c r="E4">
        <f>C4*D4</f>
        <v/>
      </c>
      <c r="F4" t="n">
        <v>3300</v>
      </c>
      <c r="G4" t="n">
        <v>1070</v>
      </c>
      <c r="H4">
        <f>E4+F4+G4</f>
        <v/>
      </c>
      <c r="I4" t="n">
        <v>1</v>
      </c>
      <c r="J4">
        <f>H4*I4</f>
        <v/>
      </c>
      <c r="K4" t="n">
        <v>36</v>
      </c>
      <c r="L4" t="inlineStr">
        <is>
          <t>On-site next-business-day</t>
        </is>
      </c>
      <c r="M4" t="inlineStr">
        <is>
          <t>8 weeks</t>
        </is>
      </c>
      <c r="N4" t="inlineStr">
        <is>
          <t>Mandatory one-time onboarding &amp; imaging fee plus freight; no grand total printed on the quote.</t>
        </is>
      </c>
    </row>
    <row r="6">
      <c r="A6" t="inlineStr">
        <is>
          <t>Cheapest delivered (USD)</t>
        </is>
      </c>
      <c r="J6">
        <f>MIN(J2:J4)</f>
        <v/>
      </c>
    </row>
    <row r="7">
      <c r="A7" t="inlineStr">
        <is>
          <t>Recommended</t>
        </is>
      </c>
      <c r="B7" t="inlineStr">
        <is>
          <t>Bluepine Computing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2026-07-01T00:00:00Z</dcterms:created>
  <dcterms:modified xsi:type="dcterms:W3CDTF">2026-07-01T00:00:00Z</dcterms:modified>
  <cp:lastModifiedBy>reference</cp:lastModifiedBy>
</cp:coreProperties>
</file>