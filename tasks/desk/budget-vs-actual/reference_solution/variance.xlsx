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" sheetId="1" state="visible" r:id="rId1"/>
    <sheet name="Profile" sheetId="2" state="visible" r:id="rId2"/>
    <sheet name="G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6" customWidth="1" min="2" max="2"/>
    <col width="15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Acct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FY2026 budget</t>
        </is>
      </c>
      <c r="E1" s="1" t="inlineStr">
        <is>
          <t>Budget Jan-Jun</t>
        </is>
      </c>
      <c r="F1" s="1" t="inlineStr">
        <is>
          <t>Actual Jan-Jun</t>
        </is>
      </c>
      <c r="G1" s="1" t="inlineStr">
        <is>
          <t>Variance (+ good / - bad)</t>
        </is>
      </c>
    </row>
    <row r="2">
      <c r="A2" t="n">
        <v>4100</v>
      </c>
      <c r="B2" t="inlineStr">
        <is>
          <t>Slip rentals</t>
        </is>
      </c>
      <c r="C2" t="inlineStr">
        <is>
          <t>Income</t>
        </is>
      </c>
      <c r="D2" t="n">
        <v>589300</v>
      </c>
      <c r="E2">
        <f>ROUND(D2*VLOOKUP(A2,Profile!$A$2:$N$18,14,FALSE),2)</f>
        <v/>
      </c>
      <c r="F2">
        <f>ROUND(SUMIFS(GL!$C$2:$C$245,GL!$A$2:$A$245,A2),2)</f>
        <v/>
      </c>
      <c r="G2">
        <f>IF(C2="Income",F2-E2,E2-F2)</f>
        <v/>
      </c>
    </row>
    <row r="3">
      <c r="A3" t="n">
        <v>4200</v>
      </c>
      <c r="B3" t="inlineStr">
        <is>
          <t>Winter storage</t>
        </is>
      </c>
      <c r="C3" t="inlineStr">
        <is>
          <t>Income</t>
        </is>
      </c>
      <c r="D3" t="n">
        <v>291600</v>
      </c>
      <c r="E3">
        <f>ROUND(D3*VLOOKUP(A3,Profile!$A$2:$N$18,14,FALSE),2)</f>
        <v/>
      </c>
      <c r="F3">
        <f>ROUND(SUMIFS(GL!$C$2:$C$245,GL!$A$2:$A$245,A3),2)</f>
        <v/>
      </c>
      <c r="G3">
        <f>IF(C3="Income",F3-E3,E3-F3)</f>
        <v/>
      </c>
    </row>
    <row r="4">
      <c r="A4" t="n">
        <v>4300</v>
      </c>
      <c r="B4" t="inlineStr">
        <is>
          <t>Launch and haul-out</t>
        </is>
      </c>
      <c r="C4" t="inlineStr">
        <is>
          <t>Income</t>
        </is>
      </c>
      <c r="D4" t="n">
        <v>179300</v>
      </c>
      <c r="E4">
        <f>ROUND(D4*VLOOKUP(A4,Profile!$A$2:$N$18,14,FALSE),2)</f>
        <v/>
      </c>
      <c r="F4">
        <f>ROUND(SUMIFS(GL!$C$2:$C$245,GL!$A$2:$A$245,A4),2)</f>
        <v/>
      </c>
      <c r="G4">
        <f>IF(C4="Income",F4-E4,E4-F4)</f>
        <v/>
      </c>
    </row>
    <row r="5">
      <c r="A5" t="n">
        <v>4400</v>
      </c>
      <c r="B5" t="inlineStr">
        <is>
          <t>Service department labor</t>
        </is>
      </c>
      <c r="C5" t="inlineStr">
        <is>
          <t>Income</t>
        </is>
      </c>
      <c r="D5" t="n">
        <v>244000</v>
      </c>
      <c r="E5">
        <f>ROUND(D5*VLOOKUP(A5,Profile!$A$2:$N$18,14,FALSE),2)</f>
        <v/>
      </c>
      <c r="F5">
        <f>ROUND(SUMIFS(GL!$C$2:$C$245,GL!$A$2:$A$245,A5),2)</f>
        <v/>
      </c>
      <c r="G5">
        <f>IF(C5="Income",F5-E5,E5-F5)</f>
        <v/>
      </c>
    </row>
    <row r="6">
      <c r="A6" t="n">
        <v>5100</v>
      </c>
      <c r="B6" t="inlineStr">
        <is>
          <t>Yard crew wages</t>
        </is>
      </c>
      <c r="C6" t="inlineStr">
        <is>
          <t>Expense</t>
        </is>
      </c>
      <c r="D6" t="n">
        <v>418700</v>
      </c>
      <c r="E6">
        <f>ROUND(D6*VLOOKUP(A6,Profile!$A$2:$N$18,14,FALSE),2)</f>
        <v/>
      </c>
      <c r="F6">
        <f>ROUND(SUMIFS(GL!$C$2:$C$245,GL!$A$2:$A$245,A6),2)</f>
        <v/>
      </c>
      <c r="G6">
        <f>IF(C6="Income",F6-E6,E6-F6)</f>
        <v/>
      </c>
    </row>
    <row r="7">
      <c r="A7" t="n">
        <v>5200</v>
      </c>
      <c r="B7" t="inlineStr">
        <is>
          <t>Seasonal dock staff</t>
        </is>
      </c>
      <c r="C7" t="inlineStr">
        <is>
          <t>Expense</t>
        </is>
      </c>
      <c r="D7" t="n">
        <v>154500</v>
      </c>
      <c r="E7">
        <f>ROUND(D7*VLOOKUP(A7,Profile!$A$2:$N$18,14,FALSE),2)</f>
        <v/>
      </c>
      <c r="F7">
        <f>ROUND(SUMIFS(GL!$C$2:$C$245,GL!$A$2:$A$245,A7),2)</f>
        <v/>
      </c>
      <c r="G7">
        <f>IF(C7="Income",F7-E7,E7-F7)</f>
        <v/>
      </c>
    </row>
    <row r="8">
      <c r="A8" t="n">
        <v>5300</v>
      </c>
      <c r="B8" t="inlineStr">
        <is>
          <t>Fuel</t>
        </is>
      </c>
      <c r="C8" t="inlineStr">
        <is>
          <t>Expense</t>
        </is>
      </c>
      <c r="D8" t="n">
        <v>58000</v>
      </c>
      <c r="E8">
        <f>ROUND(D8*VLOOKUP(A8,Profile!$A$2:$N$18,14,FALSE),2)</f>
        <v/>
      </c>
      <c r="F8">
        <f>ROUND(SUMIFS(GL!$C$2:$C$245,GL!$A$2:$A$245,A8),2)</f>
        <v/>
      </c>
      <c r="G8">
        <f>IF(C8="Income",F8-E8,E8-F8)</f>
        <v/>
      </c>
    </row>
    <row r="9">
      <c r="A9" t="n">
        <v>5400</v>
      </c>
      <c r="B9" t="inlineStr">
        <is>
          <t>Travel lift and equipment repairs</t>
        </is>
      </c>
      <c r="C9" t="inlineStr">
        <is>
          <t>Expense</t>
        </is>
      </c>
      <c r="D9" t="n">
        <v>37600</v>
      </c>
      <c r="E9">
        <f>ROUND(D9*VLOOKUP(A9,Profile!$A$2:$N$18,14,FALSE),2)</f>
        <v/>
      </c>
      <c r="F9">
        <f>ROUND(SUMIFS(GL!$C$2:$C$245,GL!$A$2:$A$245,A9),2)</f>
        <v/>
      </c>
      <c r="G9">
        <f>IF(C9="Income",F9-E9,E9-F9)</f>
        <v/>
      </c>
    </row>
    <row r="10">
      <c r="A10" t="n">
        <v>5500</v>
      </c>
      <c r="B10" t="inlineStr">
        <is>
          <t>Shrink-wrap and blocking supplies</t>
        </is>
      </c>
      <c r="C10" t="inlineStr">
        <is>
          <t>Expense</t>
        </is>
      </c>
      <c r="D10" t="n">
        <v>44700</v>
      </c>
      <c r="E10">
        <f>ROUND(D10*VLOOKUP(A10,Profile!$A$2:$N$18,14,FALSE),2)</f>
        <v/>
      </c>
      <c r="F10">
        <f>ROUND(SUMIFS(GL!$C$2:$C$245,GL!$A$2:$A$245,A10),2)</f>
        <v/>
      </c>
      <c r="G10">
        <f>IF(C10="Income",F10-E10,E10-F10)</f>
        <v/>
      </c>
    </row>
    <row r="11">
      <c r="A11" t="n">
        <v>6100</v>
      </c>
      <c r="B11" t="inlineStr">
        <is>
          <t>Office salaries</t>
        </is>
      </c>
      <c r="C11" t="inlineStr">
        <is>
          <t>Expense</t>
        </is>
      </c>
      <c r="D11" t="n">
        <v>130500</v>
      </c>
      <c r="E11">
        <f>ROUND(D11*VLOOKUP(A11,Profile!$A$2:$N$18,14,FALSE),2)</f>
        <v/>
      </c>
      <c r="F11">
        <f>ROUND(SUMIFS(GL!$C$2:$C$245,GL!$A$2:$A$245,A11),2)</f>
        <v/>
      </c>
      <c r="G11">
        <f>IF(C11="Income",F11-E11,E11-F11)</f>
        <v/>
      </c>
    </row>
    <row r="12">
      <c r="A12" t="n">
        <v>6200</v>
      </c>
      <c r="B12" t="inlineStr">
        <is>
          <t>Harbor lease</t>
        </is>
      </c>
      <c r="C12" t="inlineStr">
        <is>
          <t>Expense</t>
        </is>
      </c>
      <c r="D12" t="n">
        <v>49000</v>
      </c>
      <c r="E12">
        <f>ROUND(D12*VLOOKUP(A12,Profile!$A$2:$N$18,14,FALSE),2)</f>
        <v/>
      </c>
      <c r="F12">
        <f>ROUND(SUMIFS(GL!$C$2:$C$245,GL!$A$2:$A$245,A12),2)</f>
        <v/>
      </c>
      <c r="G12">
        <f>IF(C12="Income",F12-E12,E12-F12)</f>
        <v/>
      </c>
    </row>
    <row r="13">
      <c r="A13" t="n">
        <v>6300</v>
      </c>
      <c r="B13" t="inlineStr">
        <is>
          <t>Insurance</t>
        </is>
      </c>
      <c r="C13" t="inlineStr">
        <is>
          <t>Expense</t>
        </is>
      </c>
      <c r="D13" t="n">
        <v>38100</v>
      </c>
      <c r="E13">
        <f>ROUND(D13*VLOOKUP(A13,Profile!$A$2:$N$18,14,FALSE),2)</f>
        <v/>
      </c>
      <c r="F13">
        <f>ROUND(SUMIFS(GL!$C$2:$C$245,GL!$A$2:$A$245,A13),2)</f>
        <v/>
      </c>
      <c r="G13">
        <f>IF(C13="Income",F13-E13,E13-F13)</f>
        <v/>
      </c>
    </row>
    <row r="14">
      <c r="A14" t="n">
        <v>6400</v>
      </c>
      <c r="B14" t="inlineStr">
        <is>
          <t>Vehicle and forklift leases</t>
        </is>
      </c>
      <c r="C14" t="inlineStr">
        <is>
          <t>Expense</t>
        </is>
      </c>
      <c r="D14" t="n">
        <v>70300</v>
      </c>
      <c r="E14">
        <f>ROUND(D14*VLOOKUP(A14,Profile!$A$2:$N$18,14,FALSE),2)</f>
        <v/>
      </c>
      <c r="F14">
        <f>ROUND(SUMIFS(GL!$C$2:$C$245,GL!$A$2:$A$245,A14),2)</f>
        <v/>
      </c>
      <c r="G14">
        <f>IF(C14="Income",F14-E14,E14-F14)</f>
        <v/>
      </c>
    </row>
    <row r="15">
      <c r="A15" t="n">
        <v>6500</v>
      </c>
      <c r="B15" t="inlineStr">
        <is>
          <t>Marketing</t>
        </is>
      </c>
      <c r="C15" t="inlineStr">
        <is>
          <t>Expense</t>
        </is>
      </c>
      <c r="D15" t="n">
        <v>18100</v>
      </c>
      <c r="E15">
        <f>ROUND(D15*VLOOKUP(A15,Profile!$A$2:$N$18,14,FALSE),2)</f>
        <v/>
      </c>
      <c r="F15">
        <f>ROUND(SUMIFS(GL!$C$2:$C$245,GL!$A$2:$A$245,A15),2)</f>
        <v/>
      </c>
      <c r="G15">
        <f>IF(C15="Income",F15-E15,E15-F15)</f>
        <v/>
      </c>
    </row>
    <row r="16">
      <c r="A16" t="n">
        <v>6600</v>
      </c>
      <c r="B16" t="inlineStr">
        <is>
          <t>Software and phones</t>
        </is>
      </c>
      <c r="C16" t="inlineStr">
        <is>
          <t>Expense</t>
        </is>
      </c>
      <c r="D16" t="n">
        <v>11900</v>
      </c>
      <c r="E16">
        <f>ROUND(D16*VLOOKUP(A16,Profile!$A$2:$N$18,14,FALSE),2)</f>
        <v/>
      </c>
      <c r="F16">
        <f>ROUND(SUMIFS(GL!$C$2:$C$245,GL!$A$2:$A$245,A16),2)</f>
        <v/>
      </c>
      <c r="G16">
        <f>IF(C16="Income",F16-E16,E16-F16)</f>
        <v/>
      </c>
    </row>
    <row r="17">
      <c r="A17" t="n">
        <v>6700</v>
      </c>
      <c r="B17" t="inlineStr">
        <is>
          <t>Professional fees</t>
        </is>
      </c>
      <c r="C17" t="inlineStr">
        <is>
          <t>Expense</t>
        </is>
      </c>
      <c r="D17" t="n">
        <v>14500</v>
      </c>
      <c r="E17">
        <f>ROUND(D17*VLOOKUP(A17,Profile!$A$2:$N$18,14,FALSE),2)</f>
        <v/>
      </c>
      <c r="F17">
        <f>ROUND(SUMIFS(GL!$C$2:$C$245,GL!$A$2:$A$245,A17),2)</f>
        <v/>
      </c>
      <c r="G17">
        <f>IF(C17="Income",F17-E17,E17-F17)</f>
        <v/>
      </c>
    </row>
    <row r="18">
      <c r="A18" t="n">
        <v>6750</v>
      </c>
      <c r="B18" t="inlineStr">
        <is>
          <t>Crane and equipment rental</t>
        </is>
      </c>
      <c r="C18" t="inlineStr">
        <is>
          <t>Expense</t>
        </is>
      </c>
      <c r="D18" t="n">
        <v>0</v>
      </c>
      <c r="E18">
        <f>ROUND(D18*VLOOKUP(A18,Profile!$A$2:$N$18,14,FALSE),2)</f>
        <v/>
      </c>
      <c r="F18">
        <f>ROUND(SUMIFS(GL!$C$2:$C$245,GL!$A$2:$A$245,A18),2)</f>
        <v/>
      </c>
      <c r="G18">
        <f>IF(C18="Income",F18-E18,E18-F18)</f>
        <v/>
      </c>
    </row>
    <row r="20">
      <c r="B20" t="inlineStr">
        <is>
          <t>Total income</t>
        </is>
      </c>
      <c r="D20">
        <f>SUMIF($C$2:$C$18,"Income",D$2:D$18)</f>
        <v/>
      </c>
      <c r="E20">
        <f>SUMIF($C$2:$C$18,"Income",E$2:E$18)</f>
        <v/>
      </c>
      <c r="F20">
        <f>SUMIF($C$2:$C$18,"Income",F$2:F$18)</f>
        <v/>
      </c>
      <c r="G20">
        <f>SUMIF($C$2:$C$18,"Income",G$2:G$18)</f>
        <v/>
      </c>
    </row>
    <row r="21">
      <c r="B21" t="inlineStr">
        <is>
          <t>Total expenses</t>
        </is>
      </c>
      <c r="D21">
        <f>SUMIF($C$2:$C$18,"Expense",D$2:D$18)</f>
        <v/>
      </c>
      <c r="E21">
        <f>SUMIF($C$2:$C$18,"Expense",E$2:E$18)</f>
        <v/>
      </c>
      <c r="F21">
        <f>SUMIF($C$2:$C$18,"Expense",F$2:F$18)</f>
        <v/>
      </c>
      <c r="G21">
        <f>SUMIF($C$2:$C$18,"Expense",G$2:G$18)</f>
        <v/>
      </c>
    </row>
    <row r="22">
      <c r="B22" t="inlineStr">
        <is>
          <t>Net income</t>
        </is>
      </c>
      <c r="D22">
        <f>D20-D21</f>
        <v/>
      </c>
      <c r="E22">
        <f>E20-E21</f>
        <v/>
      </c>
      <c r="F22">
        <f>F20-F21</f>
        <v/>
      </c>
      <c r="G22">
        <f>G20+G21</f>
        <v/>
      </c>
    </row>
    <row r="24">
      <c r="B24" t="inlineStr">
        <is>
          <t>Variance is positive when it helps profit (income above budget, costs below budget) and negative when it hurts. Seasonal lines use the monthly profile from Dale's email; the rest are one twelfth a month. Crane and equipment rental has no budget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Share Jan-Jun</t>
        </is>
      </c>
    </row>
    <row r="2">
      <c r="A2" t="n">
        <v>4100</v>
      </c>
      <c r="B2" t="n">
        <v>0</v>
      </c>
      <c r="C2" t="n">
        <v>0</v>
      </c>
      <c r="D2" t="n">
        <v>0</v>
      </c>
      <c r="E2" t="n">
        <v>5</v>
      </c>
      <c r="F2" t="n">
        <v>12</v>
      </c>
      <c r="G2" t="n">
        <v>18</v>
      </c>
      <c r="H2" t="n">
        <v>20</v>
      </c>
      <c r="I2" t="n">
        <v>20</v>
      </c>
      <c r="J2" t="n">
        <v>15</v>
      </c>
      <c r="K2" t="n">
        <v>10</v>
      </c>
      <c r="L2" t="n">
        <v>0</v>
      </c>
      <c r="M2" t="n">
        <v>0</v>
      </c>
      <c r="N2">
        <f>IF(SUM(B2:M2)=0,6/12,SUM(B2:G2)/SUM(B2:M2))</f>
        <v/>
      </c>
    </row>
    <row r="3">
      <c r="A3" t="n">
        <v>4200</v>
      </c>
      <c r="B3" t="n">
        <v>16</v>
      </c>
      <c r="C3" t="n">
        <v>16</v>
      </c>
      <c r="D3" t="n">
        <v>16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18</v>
      </c>
      <c r="M3" t="n">
        <v>18</v>
      </c>
      <c r="N3">
        <f>IF(SUM(B3:M3)=0,6/12,SUM(B3:G3)/SUM(B3:M3))</f>
        <v/>
      </c>
    </row>
    <row r="4">
      <c r="A4" t="n">
        <v>4300</v>
      </c>
      <c r="B4" t="n">
        <v>0</v>
      </c>
      <c r="C4" t="n">
        <v>0</v>
      </c>
      <c r="D4" t="n">
        <v>6</v>
      </c>
      <c r="E4" t="n">
        <v>24</v>
      </c>
      <c r="F4" t="n">
        <v>18</v>
      </c>
      <c r="G4" t="n">
        <v>4</v>
      </c>
      <c r="H4" t="n">
        <v>0</v>
      </c>
      <c r="I4" t="n">
        <v>0</v>
      </c>
      <c r="J4" t="n">
        <v>4</v>
      </c>
      <c r="K4" t="n">
        <v>20</v>
      </c>
      <c r="L4" t="n">
        <v>22</v>
      </c>
      <c r="M4" t="n">
        <v>2</v>
      </c>
      <c r="N4">
        <f>IF(SUM(B4:M4)=0,6/12,SUM(B4:G4)/SUM(B4:M4))</f>
        <v/>
      </c>
    </row>
    <row r="5">
      <c r="A5" t="n">
        <v>4400</v>
      </c>
      <c r="N5">
        <f>IF(SUM(B5:M5)=0,6/12,SUM(B5:G5)/SUM(B5:M5))</f>
        <v/>
      </c>
    </row>
    <row r="6">
      <c r="A6" t="n">
        <v>5100</v>
      </c>
      <c r="N6">
        <f>IF(SUM(B6:M6)=0,6/12,SUM(B6:G6)/SUM(B6:M6))</f>
        <v/>
      </c>
    </row>
    <row r="7">
      <c r="A7" t="n">
        <v>5200</v>
      </c>
      <c r="B7" t="n">
        <v>0</v>
      </c>
      <c r="C7" t="n">
        <v>0</v>
      </c>
      <c r="D7" t="n">
        <v>0</v>
      </c>
      <c r="E7" t="n">
        <v>8</v>
      </c>
      <c r="F7" t="n">
        <v>16</v>
      </c>
      <c r="G7" t="n">
        <v>20</v>
      </c>
      <c r="H7" t="n">
        <v>20</v>
      </c>
      <c r="I7" t="n">
        <v>20</v>
      </c>
      <c r="J7" t="n">
        <v>16</v>
      </c>
      <c r="K7" t="n">
        <v>0</v>
      </c>
      <c r="L7" t="n">
        <v>0</v>
      </c>
      <c r="M7" t="n">
        <v>0</v>
      </c>
      <c r="N7">
        <f>IF(SUM(B7:M7)=0,6/12,SUM(B7:G7)/SUM(B7:M7))</f>
        <v/>
      </c>
    </row>
    <row r="8">
      <c r="A8" t="n">
        <v>5300</v>
      </c>
      <c r="N8">
        <f>IF(SUM(B8:M8)=0,6/12,SUM(B8:G8)/SUM(B8:M8))</f>
        <v/>
      </c>
    </row>
    <row r="9">
      <c r="A9" t="n">
        <v>5400</v>
      </c>
      <c r="N9">
        <f>IF(SUM(B9:M9)=0,6/12,SUM(B9:G9)/SUM(B9:M9))</f>
        <v/>
      </c>
    </row>
    <row r="10">
      <c r="A10" t="n">
        <v>5500</v>
      </c>
      <c r="B10" t="n">
        <v>0</v>
      </c>
      <c r="C10" t="n">
        <v>0</v>
      </c>
      <c r="D10" t="n">
        <v>6</v>
      </c>
      <c r="E10" t="n">
        <v>24</v>
      </c>
      <c r="F10" t="n">
        <v>18</v>
      </c>
      <c r="G10" t="n">
        <v>4</v>
      </c>
      <c r="H10" t="n">
        <v>0</v>
      </c>
      <c r="I10" t="n">
        <v>0</v>
      </c>
      <c r="J10" t="n">
        <v>4</v>
      </c>
      <c r="K10" t="n">
        <v>20</v>
      </c>
      <c r="L10" t="n">
        <v>22</v>
      </c>
      <c r="M10" t="n">
        <v>2</v>
      </c>
      <c r="N10">
        <f>IF(SUM(B10:M10)=0,6/12,SUM(B10:G10)/SUM(B10:M10))</f>
        <v/>
      </c>
    </row>
    <row r="11">
      <c r="A11" t="n">
        <v>6100</v>
      </c>
      <c r="N11">
        <f>IF(SUM(B11:M11)=0,6/12,SUM(B11:G11)/SUM(B11:M11))</f>
        <v/>
      </c>
    </row>
    <row r="12">
      <c r="A12" t="n">
        <v>6200</v>
      </c>
      <c r="N12">
        <f>IF(SUM(B12:M12)=0,6/12,SUM(B12:G12)/SUM(B12:M12))</f>
        <v/>
      </c>
    </row>
    <row r="13">
      <c r="A13" t="n">
        <v>6300</v>
      </c>
      <c r="N13">
        <f>IF(SUM(B13:M13)=0,6/12,SUM(B13:G13)/SUM(B13:M13))</f>
        <v/>
      </c>
    </row>
    <row r="14">
      <c r="A14" t="n">
        <v>6400</v>
      </c>
      <c r="N14">
        <f>IF(SUM(B14:M14)=0,6/12,SUM(B14:G14)/SUM(B14:M14))</f>
        <v/>
      </c>
    </row>
    <row r="15">
      <c r="A15" t="n">
        <v>6500</v>
      </c>
      <c r="N15">
        <f>IF(SUM(B15:M15)=0,6/12,SUM(B15:G15)/SUM(B15:M15))</f>
        <v/>
      </c>
    </row>
    <row r="16">
      <c r="A16" t="n">
        <v>6600</v>
      </c>
      <c r="N16">
        <f>IF(SUM(B16:M16)=0,6/12,SUM(B16:G16)/SUM(B16:M16))</f>
        <v/>
      </c>
    </row>
    <row r="17">
      <c r="A17" t="n">
        <v>6700</v>
      </c>
      <c r="N17">
        <f>IF(SUM(B17:M17)=0,6/12,SUM(B17:G17)/SUM(B17:M17))</f>
        <v/>
      </c>
    </row>
    <row r="18">
      <c r="A18" t="n">
        <v>6750</v>
      </c>
      <c r="N18">
        <f>IF(SUM(B18:M18)=0,6/12,SUM(B18:G18)/SUM(B18:M18))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cols>
    <col width="12" customWidth="1" min="2" max="2"/>
    <col width="30" customWidth="1" min="3" max="3"/>
  </cols>
  <sheetData>
    <row r="1">
      <c r="A1" s="1" t="inlineStr">
        <is>
          <t>acct</t>
        </is>
      </c>
      <c r="B1" s="1" t="inlineStr">
        <is>
          <t>date</t>
        </is>
      </c>
      <c r="C1" s="1" t="inlineStr">
        <is>
          <t>amount (income and cost positive)</t>
        </is>
      </c>
      <c r="D1" s="1" t="inlineStr">
        <is>
          <t>gl account</t>
        </is>
      </c>
    </row>
    <row r="2">
      <c r="A2" t="n">
        <v>6400</v>
      </c>
      <c r="B2" t="inlineStr">
        <is>
          <t>2026-01-01</t>
        </is>
      </c>
      <c r="C2" t="n">
        <v>7051.16</v>
      </c>
      <c r="D2" t="inlineStr">
        <is>
          <t>640000</t>
        </is>
      </c>
    </row>
    <row r="3">
      <c r="A3" t="n">
        <v>4400</v>
      </c>
      <c r="B3" t="inlineStr">
        <is>
          <t>2026-01-02</t>
        </is>
      </c>
      <c r="C3" t="n">
        <v>14013.07</v>
      </c>
      <c r="D3" t="inlineStr">
        <is>
          <t>440000</t>
        </is>
      </c>
    </row>
    <row r="4">
      <c r="A4" t="n">
        <v>5300</v>
      </c>
      <c r="B4" t="inlineStr">
        <is>
          <t>2026-01-02</t>
        </is>
      </c>
      <c r="C4" t="n">
        <v>1546.35</v>
      </c>
      <c r="D4" t="inlineStr">
        <is>
          <t>530010</t>
        </is>
      </c>
    </row>
    <row r="5">
      <c r="A5" t="n">
        <v>5400</v>
      </c>
      <c r="B5" t="inlineStr">
        <is>
          <t>2026-01-02</t>
        </is>
      </c>
      <c r="C5" t="n">
        <v>435.62</v>
      </c>
      <c r="D5" t="inlineStr">
        <is>
          <t>540000</t>
        </is>
      </c>
    </row>
    <row r="6">
      <c r="A6" t="n">
        <v>6600</v>
      </c>
      <c r="B6" t="inlineStr">
        <is>
          <t>2026-01-02</t>
        </is>
      </c>
      <c r="C6" t="n">
        <v>411.39</v>
      </c>
      <c r="D6" t="inlineStr">
        <is>
          <t>660000</t>
        </is>
      </c>
    </row>
    <row r="7">
      <c r="A7" t="n">
        <v>6300</v>
      </c>
      <c r="B7" t="inlineStr">
        <is>
          <t>2026-01-04</t>
        </is>
      </c>
      <c r="C7" t="n">
        <v>3842.16</v>
      </c>
      <c r="D7" t="inlineStr">
        <is>
          <t>630000</t>
        </is>
      </c>
    </row>
    <row r="8">
      <c r="A8" t="n">
        <v>6600</v>
      </c>
      <c r="B8" t="inlineStr">
        <is>
          <t>2026-01-04</t>
        </is>
      </c>
      <c r="C8" t="n">
        <v>178.29</v>
      </c>
      <c r="D8" t="inlineStr">
        <is>
          <t>660000</t>
        </is>
      </c>
    </row>
    <row r="9">
      <c r="A9" t="n">
        <v>5400</v>
      </c>
      <c r="B9" t="inlineStr">
        <is>
          <t>2026-01-06</t>
        </is>
      </c>
      <c r="C9" t="n">
        <v>43.83</v>
      </c>
      <c r="D9" t="inlineStr">
        <is>
          <t>540000</t>
        </is>
      </c>
    </row>
    <row r="10">
      <c r="A10" t="n">
        <v>6600</v>
      </c>
      <c r="B10" t="inlineStr">
        <is>
          <t>2026-01-06</t>
        </is>
      </c>
      <c r="C10" t="n">
        <v>363.81</v>
      </c>
      <c r="D10" t="inlineStr">
        <is>
          <t>660000</t>
        </is>
      </c>
    </row>
    <row r="11">
      <c r="A11" t="n">
        <v>6200</v>
      </c>
      <c r="B11" t="inlineStr">
        <is>
          <t>2026-01-08</t>
        </is>
      </c>
      <c r="C11" t="n">
        <v>3428.62</v>
      </c>
      <c r="D11" t="inlineStr">
        <is>
          <t>620000</t>
        </is>
      </c>
    </row>
    <row r="12">
      <c r="A12" t="n">
        <v>4200</v>
      </c>
      <c r="B12" t="inlineStr">
        <is>
          <t>2026-01-09</t>
        </is>
      </c>
      <c r="C12" t="n">
        <v>30891.08</v>
      </c>
      <c r="D12" t="inlineStr">
        <is>
          <t>420000</t>
        </is>
      </c>
    </row>
    <row r="13">
      <c r="A13" t="n">
        <v>5300</v>
      </c>
      <c r="B13" t="inlineStr">
        <is>
          <t>2026-01-10</t>
        </is>
      </c>
      <c r="C13" t="n">
        <v>3130.89</v>
      </c>
      <c r="D13" t="inlineStr">
        <is>
          <t>530000</t>
        </is>
      </c>
    </row>
    <row r="14">
      <c r="A14" t="n">
        <v>6100</v>
      </c>
      <c r="B14" t="inlineStr">
        <is>
          <t>2026-01-11</t>
        </is>
      </c>
      <c r="C14" t="n">
        <v>2092.38</v>
      </c>
      <c r="D14" t="inlineStr">
        <is>
          <t>610000</t>
        </is>
      </c>
    </row>
    <row r="15">
      <c r="A15" t="n">
        <v>6600</v>
      </c>
      <c r="B15" t="inlineStr">
        <is>
          <t>2026-01-11</t>
        </is>
      </c>
      <c r="C15" t="n">
        <v>1.94</v>
      </c>
      <c r="D15" t="inlineStr">
        <is>
          <t>660000</t>
        </is>
      </c>
    </row>
    <row r="16">
      <c r="A16" t="n">
        <v>5400</v>
      </c>
      <c r="B16" t="inlineStr">
        <is>
          <t>2026-01-13</t>
        </is>
      </c>
      <c r="C16" t="n">
        <v>560.51</v>
      </c>
      <c r="D16" t="inlineStr">
        <is>
          <t>540000</t>
        </is>
      </c>
    </row>
    <row r="17">
      <c r="A17" t="n">
        <v>4400</v>
      </c>
      <c r="B17" t="inlineStr">
        <is>
          <t>2026-01-15</t>
        </is>
      </c>
      <c r="C17" t="n">
        <v>5491.73</v>
      </c>
      <c r="D17" t="inlineStr">
        <is>
          <t>440000</t>
        </is>
      </c>
    </row>
    <row r="18">
      <c r="A18" t="n">
        <v>6700</v>
      </c>
      <c r="B18" t="inlineStr">
        <is>
          <t>2026-01-15</t>
        </is>
      </c>
      <c r="C18" t="n">
        <v>446.41</v>
      </c>
      <c r="D18" t="inlineStr">
        <is>
          <t>670000</t>
        </is>
      </c>
    </row>
    <row r="19">
      <c r="A19" t="n">
        <v>6700</v>
      </c>
      <c r="B19" t="inlineStr">
        <is>
          <t>2026-01-16</t>
        </is>
      </c>
      <c r="C19" t="n">
        <v>545</v>
      </c>
      <c r="D19" t="inlineStr">
        <is>
          <t>670000</t>
        </is>
      </c>
    </row>
    <row r="20">
      <c r="A20" t="n">
        <v>6500</v>
      </c>
      <c r="B20" t="inlineStr">
        <is>
          <t>2026-01-17</t>
        </is>
      </c>
      <c r="C20" t="n">
        <v>581.48</v>
      </c>
      <c r="D20" t="inlineStr">
        <is>
          <t>650000</t>
        </is>
      </c>
    </row>
    <row r="21">
      <c r="A21" t="n">
        <v>5300</v>
      </c>
      <c r="B21" t="inlineStr">
        <is>
          <t>2026-01-18</t>
        </is>
      </c>
      <c r="C21" t="n">
        <v>627.66</v>
      </c>
      <c r="D21" t="inlineStr">
        <is>
          <t>530000</t>
        </is>
      </c>
    </row>
    <row r="22">
      <c r="A22" t="n">
        <v>5400</v>
      </c>
      <c r="B22" t="inlineStr">
        <is>
          <t>2026-01-19</t>
        </is>
      </c>
      <c r="C22" t="n">
        <v>1060.57</v>
      </c>
      <c r="D22" t="inlineStr">
        <is>
          <t>540000</t>
        </is>
      </c>
    </row>
    <row r="23">
      <c r="A23" t="n">
        <v>5400</v>
      </c>
      <c r="B23" t="inlineStr">
        <is>
          <t>2026-01-19</t>
        </is>
      </c>
      <c r="C23" t="n">
        <v>752.1</v>
      </c>
      <c r="D23" t="inlineStr">
        <is>
          <t>540000</t>
        </is>
      </c>
    </row>
    <row r="24">
      <c r="A24" t="n">
        <v>6500</v>
      </c>
      <c r="B24" t="inlineStr">
        <is>
          <t>2026-01-19</t>
        </is>
      </c>
      <c r="C24" t="n">
        <v>391.56</v>
      </c>
      <c r="D24" t="inlineStr">
        <is>
          <t>650000</t>
        </is>
      </c>
    </row>
    <row r="25">
      <c r="A25" t="n">
        <v>6500</v>
      </c>
      <c r="B25" t="inlineStr">
        <is>
          <t>2026-01-23</t>
        </is>
      </c>
      <c r="C25" t="n">
        <v>277.75</v>
      </c>
      <c r="D25" t="inlineStr">
        <is>
          <t>650000</t>
        </is>
      </c>
    </row>
    <row r="26">
      <c r="A26" t="n">
        <v>4200</v>
      </c>
      <c r="B26" t="inlineStr">
        <is>
          <t>2026-01-24</t>
        </is>
      </c>
      <c r="C26" t="n">
        <v>6226.08</v>
      </c>
      <c r="D26" t="inlineStr">
        <is>
          <t>420000</t>
        </is>
      </c>
    </row>
    <row r="27">
      <c r="A27" t="n">
        <v>5100</v>
      </c>
      <c r="B27" t="inlineStr">
        <is>
          <t>2026-01-24</t>
        </is>
      </c>
      <c r="C27" t="n">
        <v>15963.56</v>
      </c>
      <c r="D27" t="inlineStr">
        <is>
          <t>510000</t>
        </is>
      </c>
    </row>
    <row r="28">
      <c r="A28" t="n">
        <v>5100</v>
      </c>
      <c r="B28" t="inlineStr">
        <is>
          <t>2026-01-25</t>
        </is>
      </c>
      <c r="C28" t="n">
        <v>25879.63</v>
      </c>
      <c r="D28" t="inlineStr">
        <is>
          <t>510000</t>
        </is>
      </c>
    </row>
    <row r="29">
      <c r="A29" t="n">
        <v>6100</v>
      </c>
      <c r="B29" t="inlineStr">
        <is>
          <t>2026-01-26</t>
        </is>
      </c>
      <c r="C29" t="n">
        <v>10191.6</v>
      </c>
      <c r="D29" t="inlineStr">
        <is>
          <t>610000</t>
        </is>
      </c>
    </row>
    <row r="30">
      <c r="A30" t="n">
        <v>5400</v>
      </c>
      <c r="B30" t="inlineStr">
        <is>
          <t>2026-02-01</t>
        </is>
      </c>
      <c r="C30" t="n">
        <v>355.34</v>
      </c>
      <c r="D30" t="inlineStr">
        <is>
          <t>540000</t>
        </is>
      </c>
    </row>
    <row r="31">
      <c r="A31" t="n">
        <v>6400</v>
      </c>
      <c r="B31" t="inlineStr">
        <is>
          <t>2026-02-01</t>
        </is>
      </c>
      <c r="C31" t="n">
        <v>6884.18</v>
      </c>
      <c r="D31" t="inlineStr">
        <is>
          <t>640000</t>
        </is>
      </c>
    </row>
    <row r="32">
      <c r="A32" t="n">
        <v>6600</v>
      </c>
      <c r="B32" t="inlineStr">
        <is>
          <t>2026-02-01</t>
        </is>
      </c>
      <c r="C32" t="n">
        <v>206.45</v>
      </c>
      <c r="D32" t="inlineStr">
        <is>
          <t>660000</t>
        </is>
      </c>
    </row>
    <row r="33">
      <c r="A33" t="n">
        <v>6600</v>
      </c>
      <c r="B33" t="inlineStr">
        <is>
          <t>2026-02-01</t>
        </is>
      </c>
      <c r="C33" t="n">
        <v>28.31</v>
      </c>
      <c r="D33" t="inlineStr">
        <is>
          <t>660000</t>
        </is>
      </c>
    </row>
    <row r="34">
      <c r="A34" t="n">
        <v>4200</v>
      </c>
      <c r="B34" t="inlineStr">
        <is>
          <t>2026-02-02</t>
        </is>
      </c>
      <c r="C34" t="n">
        <v>17677.58</v>
      </c>
      <c r="D34" t="inlineStr">
        <is>
          <t>420000</t>
        </is>
      </c>
    </row>
    <row r="35">
      <c r="A35" t="n">
        <v>5400</v>
      </c>
      <c r="B35" t="inlineStr">
        <is>
          <t>2026-02-02</t>
        </is>
      </c>
      <c r="C35" t="n">
        <v>879.83</v>
      </c>
      <c r="D35" t="inlineStr">
        <is>
          <t>540000</t>
        </is>
      </c>
    </row>
    <row r="36">
      <c r="A36" t="n">
        <v>4200</v>
      </c>
      <c r="B36" t="inlineStr">
        <is>
          <t>2026-02-05</t>
        </is>
      </c>
      <c r="C36" t="n">
        <v>24422.31</v>
      </c>
      <c r="D36" t="inlineStr">
        <is>
          <t>420000</t>
        </is>
      </c>
    </row>
    <row r="37">
      <c r="A37" t="n">
        <v>4400</v>
      </c>
      <c r="B37" t="inlineStr">
        <is>
          <t>2026-02-05</t>
        </is>
      </c>
      <c r="C37" t="n">
        <v>-1750.5</v>
      </c>
      <c r="D37" t="inlineStr">
        <is>
          <t>440000</t>
        </is>
      </c>
    </row>
    <row r="38">
      <c r="A38" t="n">
        <v>6300</v>
      </c>
      <c r="B38" t="inlineStr">
        <is>
          <t>2026-02-05</t>
        </is>
      </c>
      <c r="C38" t="n">
        <v>3655.56</v>
      </c>
      <c r="D38" t="inlineStr">
        <is>
          <t>630000</t>
        </is>
      </c>
    </row>
    <row r="39">
      <c r="A39" t="n">
        <v>4400</v>
      </c>
      <c r="B39" t="inlineStr">
        <is>
          <t>2026-02-08</t>
        </is>
      </c>
      <c r="C39" t="n">
        <v>12551.76</v>
      </c>
      <c r="D39" t="inlineStr">
        <is>
          <t>440000</t>
        </is>
      </c>
    </row>
    <row r="40">
      <c r="A40" t="n">
        <v>5300</v>
      </c>
      <c r="B40" t="inlineStr">
        <is>
          <t>2026-02-08</t>
        </is>
      </c>
      <c r="C40" t="n">
        <v>1348.89</v>
      </c>
      <c r="D40" t="inlineStr">
        <is>
          <t>530000</t>
        </is>
      </c>
    </row>
    <row r="41">
      <c r="A41" t="n">
        <v>5300</v>
      </c>
      <c r="B41" t="inlineStr">
        <is>
          <t>2026-02-09</t>
        </is>
      </c>
      <c r="C41" t="n">
        <v>1887.51</v>
      </c>
      <c r="D41" t="inlineStr">
        <is>
          <t>530000</t>
        </is>
      </c>
    </row>
    <row r="42">
      <c r="A42" t="n">
        <v>6100</v>
      </c>
      <c r="B42" t="inlineStr">
        <is>
          <t>2026-02-10</t>
        </is>
      </c>
      <c r="C42" t="n">
        <v>9884.85</v>
      </c>
      <c r="D42" t="inlineStr">
        <is>
          <t>610000</t>
        </is>
      </c>
    </row>
    <row r="43">
      <c r="A43" t="n">
        <v>5100</v>
      </c>
      <c r="B43" t="inlineStr">
        <is>
          <t>2026-02-11</t>
        </is>
      </c>
      <c r="C43" t="n">
        <v>27701.81</v>
      </c>
      <c r="D43" t="inlineStr">
        <is>
          <t>510000</t>
        </is>
      </c>
    </row>
    <row r="44">
      <c r="A44" t="n">
        <v>5400</v>
      </c>
      <c r="B44" t="inlineStr">
        <is>
          <t>2026-02-11</t>
        </is>
      </c>
      <c r="C44" t="n">
        <v>433.25</v>
      </c>
      <c r="D44" t="inlineStr">
        <is>
          <t>540000</t>
        </is>
      </c>
    </row>
    <row r="45">
      <c r="A45" t="n">
        <v>4400</v>
      </c>
      <c r="B45" t="inlineStr">
        <is>
          <t>2026-02-12</t>
        </is>
      </c>
      <c r="C45" t="n">
        <v>6730.5</v>
      </c>
      <c r="D45" t="inlineStr">
        <is>
          <t>440000</t>
        </is>
      </c>
    </row>
    <row r="46">
      <c r="A46" t="n">
        <v>5300</v>
      </c>
      <c r="B46" t="inlineStr">
        <is>
          <t>2026-02-12</t>
        </is>
      </c>
      <c r="C46" t="n">
        <v>1614.05</v>
      </c>
      <c r="D46" t="inlineStr">
        <is>
          <t>530000</t>
        </is>
      </c>
    </row>
    <row r="47">
      <c r="A47" t="n">
        <v>6100</v>
      </c>
      <c r="B47" t="inlineStr">
        <is>
          <t>2026-02-16</t>
        </is>
      </c>
      <c r="C47" t="n">
        <v>2477.36</v>
      </c>
      <c r="D47" t="inlineStr">
        <is>
          <t>610000</t>
        </is>
      </c>
    </row>
    <row r="48">
      <c r="A48" t="n">
        <v>6600</v>
      </c>
      <c r="B48" t="inlineStr">
        <is>
          <t>2026-02-16</t>
        </is>
      </c>
      <c r="C48" t="n">
        <v>205.89</v>
      </c>
      <c r="D48" t="inlineStr">
        <is>
          <t>660000</t>
        </is>
      </c>
    </row>
    <row r="49">
      <c r="A49" t="n">
        <v>6600</v>
      </c>
      <c r="B49" t="inlineStr">
        <is>
          <t>2026-02-16</t>
        </is>
      </c>
      <c r="C49" t="n">
        <v>197.39</v>
      </c>
      <c r="D49" t="inlineStr">
        <is>
          <t>660000</t>
        </is>
      </c>
    </row>
    <row r="50">
      <c r="A50" t="n">
        <v>6500</v>
      </c>
      <c r="B50" t="inlineStr">
        <is>
          <t>2026-02-17</t>
        </is>
      </c>
      <c r="C50" t="n">
        <v>23.77</v>
      </c>
      <c r="D50" t="inlineStr">
        <is>
          <t>650000</t>
        </is>
      </c>
    </row>
    <row r="51">
      <c r="A51" t="n">
        <v>6200</v>
      </c>
      <c r="B51" t="inlineStr">
        <is>
          <t>2026-02-18</t>
        </is>
      </c>
      <c r="C51" t="n">
        <v>3710.61</v>
      </c>
      <c r="D51" t="inlineStr">
        <is>
          <t>620000</t>
        </is>
      </c>
    </row>
    <row r="52">
      <c r="A52" t="n">
        <v>6500</v>
      </c>
      <c r="B52" t="inlineStr">
        <is>
          <t>2026-02-20</t>
        </is>
      </c>
      <c r="C52" t="n">
        <v>1000.65</v>
      </c>
      <c r="D52" t="inlineStr">
        <is>
          <t>650000</t>
        </is>
      </c>
    </row>
    <row r="53">
      <c r="A53" t="n">
        <v>6600</v>
      </c>
      <c r="B53" t="inlineStr">
        <is>
          <t>2026-02-21</t>
        </is>
      </c>
      <c r="C53" t="n">
        <v>317.26</v>
      </c>
      <c r="D53" t="inlineStr">
        <is>
          <t>660000</t>
        </is>
      </c>
    </row>
    <row r="54">
      <c r="A54" t="n">
        <v>5400</v>
      </c>
      <c r="B54" t="inlineStr">
        <is>
          <t>2026-02-22</t>
        </is>
      </c>
      <c r="C54" t="n">
        <v>810.89</v>
      </c>
      <c r="D54" t="inlineStr">
        <is>
          <t>540000</t>
        </is>
      </c>
    </row>
    <row r="55">
      <c r="A55" t="n">
        <v>5300</v>
      </c>
      <c r="B55" t="inlineStr">
        <is>
          <t>2026-02-23</t>
        </is>
      </c>
      <c r="C55" t="n">
        <v>80.58</v>
      </c>
      <c r="D55" t="inlineStr">
        <is>
          <t>530000</t>
        </is>
      </c>
    </row>
    <row r="56">
      <c r="A56" t="n">
        <v>6500</v>
      </c>
      <c r="B56" t="inlineStr">
        <is>
          <t>2026-02-24</t>
        </is>
      </c>
      <c r="C56" t="n">
        <v>324.81</v>
      </c>
      <c r="D56" t="inlineStr">
        <is>
          <t>650000</t>
        </is>
      </c>
    </row>
    <row r="57">
      <c r="A57" t="n">
        <v>6700</v>
      </c>
      <c r="B57" t="inlineStr">
        <is>
          <t>2026-02-26</t>
        </is>
      </c>
      <c r="C57" t="n">
        <v>770.63</v>
      </c>
      <c r="D57" t="inlineStr">
        <is>
          <t>670000</t>
        </is>
      </c>
    </row>
    <row r="58">
      <c r="A58" t="n">
        <v>5100</v>
      </c>
      <c r="B58" t="inlineStr">
        <is>
          <t>2026-02-27</t>
        </is>
      </c>
      <c r="C58" t="n">
        <v>10853.95</v>
      </c>
      <c r="D58" t="inlineStr">
        <is>
          <t>510000</t>
        </is>
      </c>
    </row>
    <row r="59">
      <c r="A59" t="n">
        <v>5300</v>
      </c>
      <c r="B59" t="inlineStr">
        <is>
          <t>2026-02-27</t>
        </is>
      </c>
      <c r="C59" t="n">
        <v>-185.62</v>
      </c>
      <c r="D59" t="inlineStr">
        <is>
          <t>530000</t>
        </is>
      </c>
    </row>
    <row r="60">
      <c r="A60" t="n">
        <v>5300</v>
      </c>
      <c r="B60" t="inlineStr">
        <is>
          <t>2026-02-28</t>
        </is>
      </c>
      <c r="C60" t="n">
        <v>456.3</v>
      </c>
      <c r="D60" t="inlineStr">
        <is>
          <t>530000</t>
        </is>
      </c>
    </row>
    <row r="61">
      <c r="A61" t="n">
        <v>6700</v>
      </c>
      <c r="B61" t="inlineStr">
        <is>
          <t>2026-02-28</t>
        </is>
      </c>
      <c r="C61" t="n">
        <v>391.44</v>
      </c>
      <c r="D61" t="inlineStr">
        <is>
          <t>670000</t>
        </is>
      </c>
    </row>
    <row r="62">
      <c r="A62" t="n">
        <v>5100</v>
      </c>
      <c r="B62" t="inlineStr">
        <is>
          <t>2026-03-01</t>
        </is>
      </c>
      <c r="C62" t="n">
        <v>28456.04</v>
      </c>
      <c r="D62" t="inlineStr">
        <is>
          <t>510000</t>
        </is>
      </c>
    </row>
    <row r="63">
      <c r="A63" t="n">
        <v>5400</v>
      </c>
      <c r="B63" t="inlineStr">
        <is>
          <t>2026-03-02</t>
        </is>
      </c>
      <c r="C63" t="n">
        <v>439.84</v>
      </c>
      <c r="D63" t="inlineStr">
        <is>
          <t>540000</t>
        </is>
      </c>
    </row>
    <row r="64">
      <c r="A64" t="n">
        <v>4300</v>
      </c>
      <c r="B64" t="inlineStr">
        <is>
          <t>2026-03-03</t>
        </is>
      </c>
      <c r="C64" t="n">
        <v>4592.93</v>
      </c>
      <c r="D64" t="inlineStr">
        <is>
          <t>430000</t>
        </is>
      </c>
    </row>
    <row r="65">
      <c r="A65" t="n">
        <v>6400</v>
      </c>
      <c r="B65" t="inlineStr">
        <is>
          <t>2026-03-03</t>
        </is>
      </c>
      <c r="C65" t="n">
        <v>6915.62</v>
      </c>
      <c r="D65" t="inlineStr">
        <is>
          <t>640000</t>
        </is>
      </c>
    </row>
    <row r="66">
      <c r="A66" t="n">
        <v>4400</v>
      </c>
      <c r="B66" t="inlineStr">
        <is>
          <t>2026-03-04</t>
        </is>
      </c>
      <c r="C66" t="n">
        <v>870.4400000000001</v>
      </c>
      <c r="D66" t="inlineStr">
        <is>
          <t>440000</t>
        </is>
      </c>
    </row>
    <row r="67">
      <c r="A67" t="n">
        <v>5400</v>
      </c>
      <c r="B67" t="inlineStr">
        <is>
          <t>2026-03-05</t>
        </is>
      </c>
      <c r="C67" t="n">
        <v>276.13</v>
      </c>
      <c r="D67" t="inlineStr">
        <is>
          <t>540000</t>
        </is>
      </c>
    </row>
    <row r="68">
      <c r="A68" t="n">
        <v>5400</v>
      </c>
      <c r="B68" t="inlineStr">
        <is>
          <t>2026-03-05</t>
        </is>
      </c>
      <c r="C68" t="n">
        <v>932.2</v>
      </c>
      <c r="D68" t="inlineStr">
        <is>
          <t>540000</t>
        </is>
      </c>
    </row>
    <row r="69">
      <c r="A69" t="n">
        <v>6700</v>
      </c>
      <c r="B69" t="inlineStr">
        <is>
          <t>2026-03-05</t>
        </is>
      </c>
      <c r="C69" t="n">
        <v>480.24</v>
      </c>
      <c r="D69" t="inlineStr">
        <is>
          <t>670000</t>
        </is>
      </c>
    </row>
    <row r="70">
      <c r="A70" t="n">
        <v>4400</v>
      </c>
      <c r="B70" t="inlineStr">
        <is>
          <t>2026-03-07</t>
        </is>
      </c>
      <c r="C70" t="n">
        <v>5613.07</v>
      </c>
      <c r="D70" t="inlineStr">
        <is>
          <t>440000</t>
        </is>
      </c>
    </row>
    <row r="71">
      <c r="A71" t="n">
        <v>5500</v>
      </c>
      <c r="B71" t="inlineStr">
        <is>
          <t>2026-03-07</t>
        </is>
      </c>
      <c r="C71" t="n">
        <v>554.04</v>
      </c>
      <c r="D71" t="inlineStr">
        <is>
          <t>550000</t>
        </is>
      </c>
    </row>
    <row r="72">
      <c r="A72" t="n">
        <v>4300</v>
      </c>
      <c r="B72" t="inlineStr">
        <is>
          <t>2026-03-08</t>
        </is>
      </c>
      <c r="C72" t="n">
        <v>4275.69</v>
      </c>
      <c r="D72" t="inlineStr">
        <is>
          <t>430000</t>
        </is>
      </c>
    </row>
    <row r="73">
      <c r="A73" t="n">
        <v>6600</v>
      </c>
      <c r="B73" t="inlineStr">
        <is>
          <t>2026-03-08</t>
        </is>
      </c>
      <c r="C73" t="n">
        <v>229.62</v>
      </c>
      <c r="D73" t="inlineStr">
        <is>
          <t>660000</t>
        </is>
      </c>
    </row>
    <row r="74">
      <c r="A74" t="n">
        <v>5300</v>
      </c>
      <c r="B74" t="inlineStr">
        <is>
          <t>2026-03-09</t>
        </is>
      </c>
      <c r="C74" t="n">
        <v>1431.13</v>
      </c>
      <c r="D74" t="inlineStr">
        <is>
          <t>530010</t>
        </is>
      </c>
    </row>
    <row r="75">
      <c r="A75" t="n">
        <v>6500</v>
      </c>
      <c r="B75" t="inlineStr">
        <is>
          <t>2026-03-09</t>
        </is>
      </c>
      <c r="C75" t="n">
        <v>321.67</v>
      </c>
      <c r="D75" t="inlineStr">
        <is>
          <t>650000</t>
        </is>
      </c>
    </row>
    <row r="76">
      <c r="A76" t="n">
        <v>4400</v>
      </c>
      <c r="B76" t="inlineStr">
        <is>
          <t>2026-03-13</t>
        </is>
      </c>
      <c r="C76" t="n">
        <v>7384.1</v>
      </c>
      <c r="D76" t="inlineStr">
        <is>
          <t>440000</t>
        </is>
      </c>
    </row>
    <row r="77">
      <c r="A77" t="n">
        <v>5300</v>
      </c>
      <c r="B77" t="inlineStr">
        <is>
          <t>2026-03-13</t>
        </is>
      </c>
      <c r="C77" t="n">
        <v>1918.44</v>
      </c>
      <c r="D77" t="inlineStr">
        <is>
          <t>530010</t>
        </is>
      </c>
    </row>
    <row r="78">
      <c r="A78" t="n">
        <v>6200</v>
      </c>
      <c r="B78" t="inlineStr">
        <is>
          <t>2026-03-14</t>
        </is>
      </c>
      <c r="C78" t="n">
        <v>3553.78</v>
      </c>
      <c r="D78" t="inlineStr">
        <is>
          <t>620000</t>
        </is>
      </c>
    </row>
    <row r="79">
      <c r="A79" t="n">
        <v>6500</v>
      </c>
      <c r="B79" t="inlineStr">
        <is>
          <t>2026-03-15</t>
        </is>
      </c>
      <c r="C79" t="n">
        <v>323.15</v>
      </c>
      <c r="D79" t="inlineStr">
        <is>
          <t>650000</t>
        </is>
      </c>
    </row>
    <row r="80">
      <c r="A80" t="n">
        <v>6600</v>
      </c>
      <c r="B80" t="inlineStr">
        <is>
          <t>2026-03-15</t>
        </is>
      </c>
      <c r="C80" t="n">
        <v>82.06</v>
      </c>
      <c r="D80" t="inlineStr">
        <is>
          <t>660000</t>
        </is>
      </c>
    </row>
    <row r="81">
      <c r="A81" t="n">
        <v>4200</v>
      </c>
      <c r="B81" t="inlineStr">
        <is>
          <t>2026-03-16</t>
        </is>
      </c>
      <c r="C81" t="n">
        <v>13644.05</v>
      </c>
      <c r="D81" t="inlineStr">
        <is>
          <t>420000</t>
        </is>
      </c>
    </row>
    <row r="82">
      <c r="A82" t="n">
        <v>4300</v>
      </c>
      <c r="B82" t="inlineStr">
        <is>
          <t>2026-03-17</t>
        </is>
      </c>
      <c r="C82" t="n">
        <v>2459.44</v>
      </c>
      <c r="D82" t="inlineStr">
        <is>
          <t>430000</t>
        </is>
      </c>
    </row>
    <row r="83">
      <c r="A83" t="n">
        <v>6300</v>
      </c>
      <c r="B83" t="inlineStr">
        <is>
          <t>2026-03-17</t>
        </is>
      </c>
      <c r="C83" t="n">
        <v>3200.63</v>
      </c>
      <c r="D83" t="inlineStr">
        <is>
          <t>630000</t>
        </is>
      </c>
    </row>
    <row r="84">
      <c r="A84" t="n">
        <v>6600</v>
      </c>
      <c r="B84" t="inlineStr">
        <is>
          <t>2026-03-17</t>
        </is>
      </c>
      <c r="C84" t="n">
        <v>315.06</v>
      </c>
      <c r="D84" t="inlineStr">
        <is>
          <t>660000</t>
        </is>
      </c>
    </row>
    <row r="85">
      <c r="A85" t="n">
        <v>4200</v>
      </c>
      <c r="B85" t="inlineStr">
        <is>
          <t>2026-03-18</t>
        </is>
      </c>
      <c r="C85" t="n">
        <v>25314.62</v>
      </c>
      <c r="D85" t="inlineStr">
        <is>
          <t>420000</t>
        </is>
      </c>
    </row>
    <row r="86">
      <c r="A86" t="n">
        <v>4200</v>
      </c>
      <c r="B86" t="inlineStr">
        <is>
          <t>2026-03-18</t>
        </is>
      </c>
      <c r="C86" t="n">
        <v>-733.66</v>
      </c>
      <c r="D86" t="inlineStr">
        <is>
          <t>420000</t>
        </is>
      </c>
    </row>
    <row r="87">
      <c r="A87" t="n">
        <v>6700</v>
      </c>
      <c r="B87" t="inlineStr">
        <is>
          <t>2026-03-18</t>
        </is>
      </c>
      <c r="C87" t="n">
        <v>547.83</v>
      </c>
      <c r="D87" t="inlineStr">
        <is>
          <t>670000</t>
        </is>
      </c>
    </row>
    <row r="88">
      <c r="A88" t="n">
        <v>6600</v>
      </c>
      <c r="B88" t="inlineStr">
        <is>
          <t>2026-03-19</t>
        </is>
      </c>
      <c r="C88" t="n">
        <v>227.31</v>
      </c>
      <c r="D88" t="inlineStr">
        <is>
          <t>660000</t>
        </is>
      </c>
    </row>
    <row r="89">
      <c r="A89" t="n">
        <v>5500</v>
      </c>
      <c r="B89" t="inlineStr">
        <is>
          <t>2026-03-21</t>
        </is>
      </c>
      <c r="C89" t="n">
        <v>1228.82</v>
      </c>
      <c r="D89" t="inlineStr">
        <is>
          <t>550000</t>
        </is>
      </c>
    </row>
    <row r="90">
      <c r="A90" t="n">
        <v>6100</v>
      </c>
      <c r="B90" t="inlineStr">
        <is>
          <t>2026-03-21</t>
        </is>
      </c>
      <c r="C90" t="n">
        <v>8059.6</v>
      </c>
      <c r="D90" t="inlineStr">
        <is>
          <t>610000</t>
        </is>
      </c>
    </row>
    <row r="91">
      <c r="A91" t="n">
        <v>6500</v>
      </c>
      <c r="B91" t="inlineStr">
        <is>
          <t>2026-03-21</t>
        </is>
      </c>
      <c r="C91" t="n">
        <v>631.9299999999999</v>
      </c>
      <c r="D91" t="inlineStr">
        <is>
          <t>650000</t>
        </is>
      </c>
    </row>
    <row r="92">
      <c r="A92" t="n">
        <v>5400</v>
      </c>
      <c r="B92" t="inlineStr">
        <is>
          <t>2026-03-22</t>
        </is>
      </c>
      <c r="C92" t="n">
        <v>723.88</v>
      </c>
      <c r="D92" t="inlineStr">
        <is>
          <t>540000</t>
        </is>
      </c>
    </row>
    <row r="93">
      <c r="A93" t="n">
        <v>5100</v>
      </c>
      <c r="B93" t="inlineStr">
        <is>
          <t>2026-03-24</t>
        </is>
      </c>
      <c r="C93" t="n">
        <v>10997.8</v>
      </c>
      <c r="D93" t="inlineStr">
        <is>
          <t>510000</t>
        </is>
      </c>
    </row>
    <row r="94">
      <c r="A94" t="n">
        <v>5500</v>
      </c>
      <c r="B94" t="inlineStr">
        <is>
          <t>2026-03-25</t>
        </is>
      </c>
      <c r="C94" t="n">
        <v>1352.29</v>
      </c>
      <c r="D94" t="inlineStr">
        <is>
          <t>550000</t>
        </is>
      </c>
    </row>
    <row r="95">
      <c r="A95" t="n">
        <v>6100</v>
      </c>
      <c r="B95" t="inlineStr">
        <is>
          <t>2026-03-25</t>
        </is>
      </c>
      <c r="C95" t="n">
        <v>2884.91</v>
      </c>
      <c r="D95" t="inlineStr">
        <is>
          <t>610000</t>
        </is>
      </c>
    </row>
    <row r="96">
      <c r="A96" t="n">
        <v>5300</v>
      </c>
      <c r="B96" t="inlineStr">
        <is>
          <t>2026-03-26</t>
        </is>
      </c>
      <c r="C96" t="n">
        <v>1527.64</v>
      </c>
      <c r="D96" t="inlineStr">
        <is>
          <t>530010</t>
        </is>
      </c>
    </row>
    <row r="97">
      <c r="A97" t="n">
        <v>5400</v>
      </c>
      <c r="B97" t="inlineStr">
        <is>
          <t>2026-03-27</t>
        </is>
      </c>
      <c r="C97" t="n">
        <v>196.18</v>
      </c>
      <c r="D97" t="inlineStr">
        <is>
          <t>540000</t>
        </is>
      </c>
    </row>
    <row r="98">
      <c r="A98" t="n">
        <v>4400</v>
      </c>
      <c r="B98" t="inlineStr">
        <is>
          <t>2026-03-28</t>
        </is>
      </c>
      <c r="C98" t="n">
        <v>3537.59</v>
      </c>
      <c r="D98" t="inlineStr">
        <is>
          <t>440000</t>
        </is>
      </c>
    </row>
    <row r="99">
      <c r="A99" t="n">
        <v>4200</v>
      </c>
      <c r="B99" t="inlineStr">
        <is>
          <t>2026-04-01</t>
        </is>
      </c>
      <c r="C99" t="n">
        <v>3759.64</v>
      </c>
      <c r="D99" t="inlineStr">
        <is>
          <t>420000</t>
        </is>
      </c>
    </row>
    <row r="100">
      <c r="A100" t="n">
        <v>4300</v>
      </c>
      <c r="B100" t="inlineStr">
        <is>
          <t>2026-04-01</t>
        </is>
      </c>
      <c r="C100" t="n">
        <v>15247.31</v>
      </c>
      <c r="D100" t="inlineStr">
        <is>
          <t>430000</t>
        </is>
      </c>
    </row>
    <row r="101">
      <c r="A101" t="n">
        <v>6750</v>
      </c>
      <c r="B101" t="inlineStr">
        <is>
          <t>2026-04-01</t>
        </is>
      </c>
      <c r="C101" t="n">
        <v>464.34</v>
      </c>
      <c r="D101" t="inlineStr">
        <is>
          <t>675000</t>
        </is>
      </c>
    </row>
    <row r="102">
      <c r="A102" t="n">
        <v>6500</v>
      </c>
      <c r="B102" t="inlineStr">
        <is>
          <t>2026-04-02</t>
        </is>
      </c>
      <c r="C102" t="n">
        <v>535.54</v>
      </c>
      <c r="D102" t="inlineStr">
        <is>
          <t>650000</t>
        </is>
      </c>
    </row>
    <row r="103">
      <c r="A103" t="n">
        <v>4300</v>
      </c>
      <c r="B103" t="inlineStr">
        <is>
          <t>2026-04-04</t>
        </is>
      </c>
      <c r="C103" t="n">
        <v>22280.15</v>
      </c>
      <c r="D103" t="inlineStr">
        <is>
          <t>430000</t>
        </is>
      </c>
    </row>
    <row r="104">
      <c r="A104" t="n">
        <v>5100</v>
      </c>
      <c r="B104" t="inlineStr">
        <is>
          <t>2026-04-04</t>
        </is>
      </c>
      <c r="C104" t="n">
        <v>31855.08</v>
      </c>
      <c r="D104" t="inlineStr">
        <is>
          <t>510000</t>
        </is>
      </c>
    </row>
    <row r="105">
      <c r="A105" t="n">
        <v>5200</v>
      </c>
      <c r="B105" t="inlineStr">
        <is>
          <t>2026-04-05</t>
        </is>
      </c>
      <c r="C105" t="n">
        <v>9076.77</v>
      </c>
      <c r="D105" t="inlineStr">
        <is>
          <t>520000</t>
        </is>
      </c>
    </row>
    <row r="106">
      <c r="A106" t="n">
        <v>6100</v>
      </c>
      <c r="B106" t="inlineStr">
        <is>
          <t>2026-04-05</t>
        </is>
      </c>
      <c r="C106" t="n">
        <v>6012.35</v>
      </c>
      <c r="D106" t="inlineStr">
        <is>
          <t>610000</t>
        </is>
      </c>
    </row>
    <row r="107">
      <c r="A107" t="n">
        <v>6750</v>
      </c>
      <c r="B107" t="inlineStr">
        <is>
          <t>2026-04-05</t>
        </is>
      </c>
      <c r="C107" t="n">
        <v>1584.5</v>
      </c>
      <c r="D107" t="inlineStr">
        <is>
          <t>675000</t>
        </is>
      </c>
    </row>
    <row r="108">
      <c r="A108" t="n">
        <v>6600</v>
      </c>
      <c r="B108" t="inlineStr">
        <is>
          <t>2026-04-07</t>
        </is>
      </c>
      <c r="C108" t="n">
        <v>246.72</v>
      </c>
      <c r="D108" t="inlineStr">
        <is>
          <t>660000</t>
        </is>
      </c>
    </row>
    <row r="109">
      <c r="A109" t="n">
        <v>6400</v>
      </c>
      <c r="B109" t="inlineStr">
        <is>
          <t>2026-04-08</t>
        </is>
      </c>
      <c r="C109" t="n">
        <v>6356.47</v>
      </c>
      <c r="D109" t="inlineStr">
        <is>
          <t>640000</t>
        </is>
      </c>
    </row>
    <row r="110">
      <c r="A110" t="n">
        <v>6700</v>
      </c>
      <c r="B110" t="inlineStr">
        <is>
          <t>2026-04-08</t>
        </is>
      </c>
      <c r="C110" t="n">
        <v>120.08</v>
      </c>
      <c r="D110" t="inlineStr">
        <is>
          <t>670000</t>
        </is>
      </c>
    </row>
    <row r="111">
      <c r="A111" t="n">
        <v>4400</v>
      </c>
      <c r="B111" t="inlineStr">
        <is>
          <t>2026-04-09</t>
        </is>
      </c>
      <c r="C111" t="n">
        <v>1896.3</v>
      </c>
      <c r="D111" t="inlineStr">
        <is>
          <t>440000</t>
        </is>
      </c>
    </row>
    <row r="112">
      <c r="A112" t="n">
        <v>5100</v>
      </c>
      <c r="B112" t="inlineStr">
        <is>
          <t>2026-04-09</t>
        </is>
      </c>
      <c r="C112" t="n">
        <v>9554.1</v>
      </c>
      <c r="D112" t="inlineStr">
        <is>
          <t>510000</t>
        </is>
      </c>
    </row>
    <row r="113">
      <c r="A113" t="n">
        <v>5300</v>
      </c>
      <c r="B113" t="inlineStr">
        <is>
          <t>2026-04-09</t>
        </is>
      </c>
      <c r="C113" t="n">
        <v>1754.45</v>
      </c>
      <c r="D113" t="inlineStr">
        <is>
          <t>530010</t>
        </is>
      </c>
    </row>
    <row r="114">
      <c r="A114" t="n">
        <v>5300</v>
      </c>
      <c r="B114" t="inlineStr">
        <is>
          <t>2026-04-10</t>
        </is>
      </c>
      <c r="C114" t="n">
        <v>1096.19</v>
      </c>
      <c r="D114" t="inlineStr">
        <is>
          <t>530000</t>
        </is>
      </c>
    </row>
    <row r="115">
      <c r="A115" t="n">
        <v>5300</v>
      </c>
      <c r="B115" t="inlineStr">
        <is>
          <t>2026-04-11</t>
        </is>
      </c>
      <c r="C115" t="n">
        <v>2205.31</v>
      </c>
      <c r="D115" t="inlineStr">
        <is>
          <t>530010</t>
        </is>
      </c>
    </row>
    <row r="116">
      <c r="A116" t="n">
        <v>4100</v>
      </c>
      <c r="B116" t="inlineStr">
        <is>
          <t>2026-04-13</t>
        </is>
      </c>
      <c r="C116" t="n">
        <v>-406.82</v>
      </c>
      <c r="D116" t="inlineStr">
        <is>
          <t>410010</t>
        </is>
      </c>
    </row>
    <row r="117">
      <c r="A117" t="n">
        <v>4400</v>
      </c>
      <c r="B117" t="inlineStr">
        <is>
          <t>2026-04-13</t>
        </is>
      </c>
      <c r="C117" t="n">
        <v>5904.78</v>
      </c>
      <c r="D117" t="inlineStr">
        <is>
          <t>440000</t>
        </is>
      </c>
    </row>
    <row r="118">
      <c r="A118" t="n">
        <v>5200</v>
      </c>
      <c r="B118" t="inlineStr">
        <is>
          <t>2026-04-13</t>
        </is>
      </c>
      <c r="C118" t="n">
        <v>2948.36</v>
      </c>
      <c r="D118" t="inlineStr">
        <is>
          <t>520000</t>
        </is>
      </c>
    </row>
    <row r="119">
      <c r="A119" t="n">
        <v>6600</v>
      </c>
      <c r="B119" t="inlineStr">
        <is>
          <t>2026-04-13</t>
        </is>
      </c>
      <c r="C119" t="n">
        <v>221.72</v>
      </c>
      <c r="D119" t="inlineStr">
        <is>
          <t>660000</t>
        </is>
      </c>
    </row>
    <row r="120">
      <c r="A120" t="n">
        <v>4300</v>
      </c>
      <c r="B120" t="inlineStr">
        <is>
          <t>2026-04-14</t>
        </is>
      </c>
      <c r="C120" t="n">
        <v>5388.18</v>
      </c>
      <c r="D120" t="inlineStr">
        <is>
          <t>430000</t>
        </is>
      </c>
    </row>
    <row r="121">
      <c r="A121" t="n">
        <v>5500</v>
      </c>
      <c r="B121" t="inlineStr">
        <is>
          <t>2026-04-14</t>
        </is>
      </c>
      <c r="C121" t="n">
        <v>1410.78</v>
      </c>
      <c r="D121" t="inlineStr">
        <is>
          <t>550000</t>
        </is>
      </c>
    </row>
    <row r="122">
      <c r="A122" t="n">
        <v>6500</v>
      </c>
      <c r="B122" t="inlineStr">
        <is>
          <t>2026-04-14</t>
        </is>
      </c>
      <c r="C122" t="n">
        <v>263.52</v>
      </c>
      <c r="D122" t="inlineStr">
        <is>
          <t>650000</t>
        </is>
      </c>
    </row>
    <row r="123">
      <c r="A123" t="n">
        <v>4100</v>
      </c>
      <c r="B123" t="inlineStr">
        <is>
          <t>2026-04-15</t>
        </is>
      </c>
      <c r="C123" t="n">
        <v>14148.6</v>
      </c>
      <c r="D123" t="inlineStr">
        <is>
          <t>410000</t>
        </is>
      </c>
    </row>
    <row r="124">
      <c r="A124" t="n">
        <v>4400</v>
      </c>
      <c r="B124" t="inlineStr">
        <is>
          <t>2026-04-15</t>
        </is>
      </c>
      <c r="C124" t="n">
        <v>7725.85</v>
      </c>
      <c r="D124" t="inlineStr">
        <is>
          <t>440000</t>
        </is>
      </c>
    </row>
    <row r="125">
      <c r="A125" t="n">
        <v>5300</v>
      </c>
      <c r="B125" t="inlineStr">
        <is>
          <t>2026-04-15</t>
        </is>
      </c>
      <c r="C125" t="n">
        <v>401.31</v>
      </c>
      <c r="D125" t="inlineStr">
        <is>
          <t>530000</t>
        </is>
      </c>
    </row>
    <row r="126">
      <c r="A126" t="n">
        <v>5500</v>
      </c>
      <c r="B126" t="inlineStr">
        <is>
          <t>2026-04-15</t>
        </is>
      </c>
      <c r="C126" t="n">
        <v>7528.47</v>
      </c>
      <c r="D126" t="inlineStr">
        <is>
          <t>550000</t>
        </is>
      </c>
    </row>
    <row r="127">
      <c r="A127" t="n">
        <v>6700</v>
      </c>
      <c r="B127" t="inlineStr">
        <is>
          <t>2026-04-15</t>
        </is>
      </c>
      <c r="C127" t="n">
        <v>679.62</v>
      </c>
      <c r="D127" t="inlineStr">
        <is>
          <t>670000</t>
        </is>
      </c>
    </row>
    <row r="128">
      <c r="A128" t="n">
        <v>4100</v>
      </c>
      <c r="B128" t="inlineStr">
        <is>
          <t>2026-04-16</t>
        </is>
      </c>
      <c r="C128" t="n">
        <v>5810.87</v>
      </c>
      <c r="D128" t="inlineStr">
        <is>
          <t>410000</t>
        </is>
      </c>
    </row>
    <row r="129">
      <c r="A129" t="n">
        <v>4200</v>
      </c>
      <c r="B129" t="inlineStr">
        <is>
          <t>2026-04-16</t>
        </is>
      </c>
      <c r="C129" t="n">
        <v>2388.82</v>
      </c>
      <c r="D129" t="inlineStr">
        <is>
          <t>420000</t>
        </is>
      </c>
    </row>
    <row r="130">
      <c r="A130" t="n">
        <v>4400</v>
      </c>
      <c r="B130" t="inlineStr">
        <is>
          <t>2026-04-16</t>
        </is>
      </c>
      <c r="C130" t="n">
        <v>725.39</v>
      </c>
      <c r="D130" t="inlineStr">
        <is>
          <t>440000</t>
        </is>
      </c>
    </row>
    <row r="131">
      <c r="A131" t="n">
        <v>4100</v>
      </c>
      <c r="B131" t="inlineStr">
        <is>
          <t>2026-04-17</t>
        </is>
      </c>
      <c r="C131" t="n">
        <v>4762.81</v>
      </c>
      <c r="D131" t="inlineStr">
        <is>
          <t>410000</t>
        </is>
      </c>
    </row>
    <row r="132">
      <c r="A132" t="n">
        <v>4200</v>
      </c>
      <c r="B132" t="inlineStr">
        <is>
          <t>2026-04-17</t>
        </is>
      </c>
      <c r="C132" t="n">
        <v>3536.32</v>
      </c>
      <c r="D132" t="inlineStr">
        <is>
          <t>420000</t>
        </is>
      </c>
    </row>
    <row r="133">
      <c r="A133" t="n">
        <v>5400</v>
      </c>
      <c r="B133" t="inlineStr">
        <is>
          <t>2026-04-17</t>
        </is>
      </c>
      <c r="C133" t="n">
        <v>727.4400000000001</v>
      </c>
      <c r="D133" t="inlineStr">
        <is>
          <t>540000</t>
        </is>
      </c>
    </row>
    <row r="134">
      <c r="A134" t="n">
        <v>6200</v>
      </c>
      <c r="B134" t="inlineStr">
        <is>
          <t>2026-04-17</t>
        </is>
      </c>
      <c r="C134" t="n">
        <v>3345.63</v>
      </c>
      <c r="D134" t="inlineStr">
        <is>
          <t>620000</t>
        </is>
      </c>
    </row>
    <row r="135">
      <c r="A135" t="n">
        <v>6300</v>
      </c>
      <c r="B135" t="inlineStr">
        <is>
          <t>2026-04-18</t>
        </is>
      </c>
      <c r="C135" t="n">
        <v>3209.91</v>
      </c>
      <c r="D135" t="inlineStr">
        <is>
          <t>630000</t>
        </is>
      </c>
    </row>
    <row r="136">
      <c r="A136" t="n">
        <v>6500</v>
      </c>
      <c r="B136" t="inlineStr">
        <is>
          <t>2026-04-18</t>
        </is>
      </c>
      <c r="C136" t="n">
        <v>134.34</v>
      </c>
      <c r="D136" t="inlineStr">
        <is>
          <t>650000</t>
        </is>
      </c>
    </row>
    <row r="137">
      <c r="A137" t="n">
        <v>5400</v>
      </c>
      <c r="B137" t="inlineStr">
        <is>
          <t>2026-04-21</t>
        </is>
      </c>
      <c r="C137" t="n">
        <v>1450.76</v>
      </c>
      <c r="D137" t="inlineStr">
        <is>
          <t>540000</t>
        </is>
      </c>
    </row>
    <row r="138">
      <c r="A138" t="n">
        <v>6600</v>
      </c>
      <c r="B138" t="inlineStr">
        <is>
          <t>2026-04-21</t>
        </is>
      </c>
      <c r="C138" t="n">
        <v>522.72</v>
      </c>
      <c r="D138" t="inlineStr">
        <is>
          <t>660000</t>
        </is>
      </c>
    </row>
    <row r="139">
      <c r="A139" t="n">
        <v>6700</v>
      </c>
      <c r="B139" t="inlineStr">
        <is>
          <t>2026-04-21</t>
        </is>
      </c>
      <c r="C139" t="n">
        <v>266.48</v>
      </c>
      <c r="D139" t="inlineStr">
        <is>
          <t>670000</t>
        </is>
      </c>
    </row>
    <row r="140">
      <c r="A140" t="n">
        <v>4200</v>
      </c>
      <c r="B140" t="inlineStr">
        <is>
          <t>2026-04-22</t>
        </is>
      </c>
      <c r="C140" t="n">
        <v>6687.67</v>
      </c>
      <c r="D140" t="inlineStr">
        <is>
          <t>420000</t>
        </is>
      </c>
    </row>
    <row r="141">
      <c r="A141" t="n">
        <v>6500</v>
      </c>
      <c r="B141" t="inlineStr">
        <is>
          <t>2026-04-22</t>
        </is>
      </c>
      <c r="C141" t="n">
        <v>414.71</v>
      </c>
      <c r="D141" t="inlineStr">
        <is>
          <t>650000</t>
        </is>
      </c>
    </row>
    <row r="142">
      <c r="A142" t="n">
        <v>4100</v>
      </c>
      <c r="B142" t="inlineStr">
        <is>
          <t>2026-04-23</t>
        </is>
      </c>
      <c r="C142" t="n">
        <v>10858.17</v>
      </c>
      <c r="D142" t="inlineStr">
        <is>
          <t>410010</t>
        </is>
      </c>
    </row>
    <row r="143">
      <c r="A143" t="n">
        <v>5400</v>
      </c>
      <c r="B143" t="inlineStr">
        <is>
          <t>2026-04-23</t>
        </is>
      </c>
      <c r="C143" t="n">
        <v>317.83</v>
      </c>
      <c r="D143" t="inlineStr">
        <is>
          <t>540000</t>
        </is>
      </c>
    </row>
    <row r="144">
      <c r="A144" t="n">
        <v>4300</v>
      </c>
      <c r="B144" t="inlineStr">
        <is>
          <t>2026-04-24</t>
        </is>
      </c>
      <c r="C144" t="n">
        <v>3340.68</v>
      </c>
      <c r="D144" t="inlineStr">
        <is>
          <t>430000</t>
        </is>
      </c>
    </row>
    <row r="145">
      <c r="A145" t="n">
        <v>4400</v>
      </c>
      <c r="B145" t="inlineStr">
        <is>
          <t>2026-04-24</t>
        </is>
      </c>
      <c r="C145" t="n">
        <v>3047.39</v>
      </c>
      <c r="D145" t="inlineStr">
        <is>
          <t>440000</t>
        </is>
      </c>
    </row>
    <row r="146">
      <c r="A146" t="n">
        <v>5300</v>
      </c>
      <c r="B146" t="inlineStr">
        <is>
          <t>2026-04-25</t>
        </is>
      </c>
      <c r="C146" t="n">
        <v>-492.47</v>
      </c>
      <c r="D146" t="inlineStr">
        <is>
          <t>530000</t>
        </is>
      </c>
    </row>
    <row r="147">
      <c r="A147" t="n">
        <v>6100</v>
      </c>
      <c r="B147" t="inlineStr">
        <is>
          <t>2026-04-26</t>
        </is>
      </c>
      <c r="C147" t="n">
        <v>5937.53</v>
      </c>
      <c r="D147" t="inlineStr">
        <is>
          <t>610000</t>
        </is>
      </c>
    </row>
    <row r="148">
      <c r="A148" t="n">
        <v>5500</v>
      </c>
      <c r="B148" t="inlineStr">
        <is>
          <t>2026-04-27</t>
        </is>
      </c>
      <c r="C148" t="n">
        <v>3145.49</v>
      </c>
      <c r="D148" t="inlineStr">
        <is>
          <t>550000</t>
        </is>
      </c>
    </row>
    <row r="149">
      <c r="A149" t="n">
        <v>4200</v>
      </c>
      <c r="B149" t="inlineStr">
        <is>
          <t>2026-04-28</t>
        </is>
      </c>
      <c r="C149" t="n">
        <v>5349.97</v>
      </c>
      <c r="D149" t="inlineStr">
        <is>
          <t>420000</t>
        </is>
      </c>
    </row>
    <row r="150">
      <c r="A150" t="n">
        <v>5500</v>
      </c>
      <c r="B150" t="inlineStr">
        <is>
          <t>2026-04-28</t>
        </is>
      </c>
      <c r="C150" t="n">
        <v>-280.62</v>
      </c>
      <c r="D150" t="inlineStr">
        <is>
          <t>550000</t>
        </is>
      </c>
    </row>
    <row r="151">
      <c r="A151" t="n">
        <v>5100</v>
      </c>
      <c r="B151" t="inlineStr">
        <is>
          <t>2026-05-01</t>
        </is>
      </c>
      <c r="C151" t="n">
        <v>22107.91</v>
      </c>
      <c r="D151" t="inlineStr">
        <is>
          <t>510000</t>
        </is>
      </c>
    </row>
    <row r="152">
      <c r="A152" t="n">
        <v>5300</v>
      </c>
      <c r="B152" t="inlineStr">
        <is>
          <t>2026-05-01</t>
        </is>
      </c>
      <c r="C152" t="n">
        <v>3440.51</v>
      </c>
      <c r="D152" t="inlineStr">
        <is>
          <t>530000</t>
        </is>
      </c>
    </row>
    <row r="153">
      <c r="A153" t="n">
        <v>6400</v>
      </c>
      <c r="B153" t="inlineStr">
        <is>
          <t>2026-05-01</t>
        </is>
      </c>
      <c r="C153" t="n">
        <v>6595.2</v>
      </c>
      <c r="D153" t="inlineStr">
        <is>
          <t>640000</t>
        </is>
      </c>
    </row>
    <row r="154">
      <c r="A154" t="n">
        <v>5200</v>
      </c>
      <c r="B154" t="inlineStr">
        <is>
          <t>2026-05-02</t>
        </is>
      </c>
      <c r="C154" t="n">
        <v>13810.73</v>
      </c>
      <c r="D154" t="inlineStr">
        <is>
          <t>520000</t>
        </is>
      </c>
    </row>
    <row r="155">
      <c r="A155" t="n">
        <v>6750</v>
      </c>
      <c r="B155" t="inlineStr">
        <is>
          <t>2026-05-03</t>
        </is>
      </c>
      <c r="C155" t="n">
        <v>262.52</v>
      </c>
      <c r="D155" t="inlineStr">
        <is>
          <t>675000</t>
        </is>
      </c>
    </row>
    <row r="156">
      <c r="A156" t="n">
        <v>6300</v>
      </c>
      <c r="B156" t="inlineStr">
        <is>
          <t>2026-05-04</t>
        </is>
      </c>
      <c r="C156" t="n">
        <v>3661.21</v>
      </c>
      <c r="D156" t="inlineStr">
        <is>
          <t>630000</t>
        </is>
      </c>
    </row>
    <row r="157">
      <c r="A157" t="n">
        <v>4400</v>
      </c>
      <c r="B157" t="inlineStr">
        <is>
          <t>2026-05-05</t>
        </is>
      </c>
      <c r="C157" t="n">
        <v>6544.54</v>
      </c>
      <c r="D157" t="inlineStr">
        <is>
          <t>440000</t>
        </is>
      </c>
    </row>
    <row r="158">
      <c r="A158" t="n">
        <v>5400</v>
      </c>
      <c r="B158" t="inlineStr">
        <is>
          <t>2026-05-05</t>
        </is>
      </c>
      <c r="C158" t="n">
        <v>55.25</v>
      </c>
      <c r="D158" t="inlineStr">
        <is>
          <t>540000</t>
        </is>
      </c>
    </row>
    <row r="159">
      <c r="A159" t="n">
        <v>4400</v>
      </c>
      <c r="B159" t="inlineStr">
        <is>
          <t>2026-05-06</t>
        </is>
      </c>
      <c r="C159" t="n">
        <v>8223.74</v>
      </c>
      <c r="D159" t="inlineStr">
        <is>
          <t>440000</t>
        </is>
      </c>
    </row>
    <row r="160">
      <c r="A160" t="n">
        <v>6500</v>
      </c>
      <c r="B160" t="inlineStr">
        <is>
          <t>2026-05-08</t>
        </is>
      </c>
      <c r="C160" t="n">
        <v>735.58</v>
      </c>
      <c r="D160" t="inlineStr">
        <is>
          <t>650000</t>
        </is>
      </c>
    </row>
    <row r="161">
      <c r="A161" t="n">
        <v>5500</v>
      </c>
      <c r="B161" t="inlineStr">
        <is>
          <t>2026-05-09</t>
        </is>
      </c>
      <c r="C161" t="n">
        <v>1461.4</v>
      </c>
      <c r="D161" t="inlineStr">
        <is>
          <t>550000</t>
        </is>
      </c>
    </row>
    <row r="162">
      <c r="A162" t="n">
        <v>4100</v>
      </c>
      <c r="B162" t="inlineStr">
        <is>
          <t>2026-05-10</t>
        </is>
      </c>
      <c r="C162" t="n">
        <v>1201.71</v>
      </c>
      <c r="D162" t="inlineStr">
        <is>
          <t>410000</t>
        </is>
      </c>
    </row>
    <row r="163">
      <c r="A163" t="n">
        <v>4100</v>
      </c>
      <c r="B163" t="inlineStr">
        <is>
          <t>2026-05-11</t>
        </is>
      </c>
      <c r="C163" t="n">
        <v>6214.95</v>
      </c>
      <c r="D163" t="inlineStr">
        <is>
          <t>410010</t>
        </is>
      </c>
    </row>
    <row r="164">
      <c r="A164" t="n">
        <v>5400</v>
      </c>
      <c r="B164" t="inlineStr">
        <is>
          <t>2026-05-11</t>
        </is>
      </c>
      <c r="C164" t="n">
        <v>753.79</v>
      </c>
      <c r="D164" t="inlineStr">
        <is>
          <t>540000</t>
        </is>
      </c>
    </row>
    <row r="165">
      <c r="A165" t="n">
        <v>6700</v>
      </c>
      <c r="B165" t="inlineStr">
        <is>
          <t>2026-05-11</t>
        </is>
      </c>
      <c r="C165" t="n">
        <v>351.2</v>
      </c>
      <c r="D165" t="inlineStr">
        <is>
          <t>670000</t>
        </is>
      </c>
    </row>
    <row r="166">
      <c r="A166" t="n">
        <v>5300</v>
      </c>
      <c r="B166" t="inlineStr">
        <is>
          <t>2026-05-12</t>
        </is>
      </c>
      <c r="C166" t="n">
        <v>2251.42</v>
      </c>
      <c r="D166" t="inlineStr">
        <is>
          <t>530000</t>
        </is>
      </c>
    </row>
    <row r="167">
      <c r="A167" t="n">
        <v>6700</v>
      </c>
      <c r="B167" t="inlineStr">
        <is>
          <t>2026-05-12</t>
        </is>
      </c>
      <c r="C167" t="n">
        <v>475.92</v>
      </c>
      <c r="D167" t="inlineStr">
        <is>
          <t>670000</t>
        </is>
      </c>
    </row>
    <row r="168">
      <c r="A168" t="n">
        <v>6700</v>
      </c>
      <c r="B168" t="inlineStr">
        <is>
          <t>2026-05-12</t>
        </is>
      </c>
      <c r="C168" t="n">
        <v>321.94</v>
      </c>
      <c r="D168" t="inlineStr">
        <is>
          <t>670000</t>
        </is>
      </c>
    </row>
    <row r="169">
      <c r="A169" t="n">
        <v>5500</v>
      </c>
      <c r="B169" t="inlineStr">
        <is>
          <t>2026-05-14</t>
        </is>
      </c>
      <c r="C169" t="n">
        <v>3339.73</v>
      </c>
      <c r="D169" t="inlineStr">
        <is>
          <t>550000</t>
        </is>
      </c>
    </row>
    <row r="170">
      <c r="A170" t="n">
        <v>6500</v>
      </c>
      <c r="B170" t="inlineStr">
        <is>
          <t>2026-05-14</t>
        </is>
      </c>
      <c r="C170" t="n">
        <v>288.49</v>
      </c>
      <c r="D170" t="inlineStr">
        <is>
          <t>650000</t>
        </is>
      </c>
    </row>
    <row r="171">
      <c r="A171" t="n">
        <v>4300</v>
      </c>
      <c r="B171" t="inlineStr">
        <is>
          <t>2026-05-15</t>
        </is>
      </c>
      <c r="C171" t="n">
        <v>17385.43</v>
      </c>
      <c r="D171" t="inlineStr">
        <is>
          <t>430000</t>
        </is>
      </c>
    </row>
    <row r="172">
      <c r="A172" t="n">
        <v>5200</v>
      </c>
      <c r="B172" t="inlineStr">
        <is>
          <t>2026-05-15</t>
        </is>
      </c>
      <c r="C172" t="n">
        <v>7366.77</v>
      </c>
      <c r="D172" t="inlineStr">
        <is>
          <t>520000</t>
        </is>
      </c>
    </row>
    <row r="173">
      <c r="A173" t="n">
        <v>6500</v>
      </c>
      <c r="B173" t="inlineStr">
        <is>
          <t>2026-05-15</t>
        </is>
      </c>
      <c r="C173" t="n">
        <v>96.62</v>
      </c>
      <c r="D173" t="inlineStr">
        <is>
          <t>650000</t>
        </is>
      </c>
    </row>
    <row r="174">
      <c r="A174" t="n">
        <v>5100</v>
      </c>
      <c r="B174" t="inlineStr">
        <is>
          <t>2026-05-16</t>
        </is>
      </c>
      <c r="C174" t="n">
        <v>16118.05</v>
      </c>
      <c r="D174" t="inlineStr">
        <is>
          <t>510000</t>
        </is>
      </c>
    </row>
    <row r="175">
      <c r="A175" t="n">
        <v>6100</v>
      </c>
      <c r="B175" t="inlineStr">
        <is>
          <t>2026-05-17</t>
        </is>
      </c>
      <c r="C175" t="n">
        <v>3904.38</v>
      </c>
      <c r="D175" t="inlineStr">
        <is>
          <t>610000</t>
        </is>
      </c>
    </row>
    <row r="176">
      <c r="A176" t="n">
        <v>4100</v>
      </c>
      <c r="B176" t="inlineStr">
        <is>
          <t>2026-05-18</t>
        </is>
      </c>
      <c r="C176" t="n">
        <v>17123.13</v>
      </c>
      <c r="D176" t="inlineStr">
        <is>
          <t>410000</t>
        </is>
      </c>
    </row>
    <row r="177">
      <c r="A177" t="n">
        <v>4400</v>
      </c>
      <c r="B177" t="inlineStr">
        <is>
          <t>2026-05-19</t>
        </is>
      </c>
      <c r="C177" t="n">
        <v>4016.93</v>
      </c>
      <c r="D177" t="inlineStr">
        <is>
          <t>440000</t>
        </is>
      </c>
    </row>
    <row r="178">
      <c r="A178" t="n">
        <v>5500</v>
      </c>
      <c r="B178" t="inlineStr">
        <is>
          <t>2026-05-19</t>
        </is>
      </c>
      <c r="C178" t="n">
        <v>2559.23</v>
      </c>
      <c r="D178" t="inlineStr">
        <is>
          <t>550000</t>
        </is>
      </c>
    </row>
    <row r="179">
      <c r="A179" t="n">
        <v>6750</v>
      </c>
      <c r="B179" t="inlineStr">
        <is>
          <t>2026-05-19</t>
        </is>
      </c>
      <c r="C179" t="n">
        <v>404.62</v>
      </c>
      <c r="D179" t="inlineStr">
        <is>
          <t>675000</t>
        </is>
      </c>
    </row>
    <row r="180">
      <c r="A180" t="n">
        <v>4100</v>
      </c>
      <c r="B180" t="inlineStr">
        <is>
          <t>2026-05-20</t>
        </is>
      </c>
      <c r="C180" t="n">
        <v>19339.01</v>
      </c>
      <c r="D180" t="inlineStr">
        <is>
          <t>410000</t>
        </is>
      </c>
    </row>
    <row r="181">
      <c r="A181" t="n">
        <v>4300</v>
      </c>
      <c r="B181" t="inlineStr">
        <is>
          <t>2026-05-21</t>
        </is>
      </c>
      <c r="C181" t="n">
        <v>16404.48</v>
      </c>
      <c r="D181" t="inlineStr">
        <is>
          <t>430000</t>
        </is>
      </c>
    </row>
    <row r="182">
      <c r="A182" t="n">
        <v>6600</v>
      </c>
      <c r="B182" t="inlineStr">
        <is>
          <t>2026-05-22</t>
        </is>
      </c>
      <c r="C182" t="n">
        <v>485.58</v>
      </c>
      <c r="D182" t="inlineStr">
        <is>
          <t>660000</t>
        </is>
      </c>
    </row>
    <row r="183">
      <c r="A183" t="n">
        <v>6750</v>
      </c>
      <c r="B183" t="inlineStr">
        <is>
          <t>2026-05-22</t>
        </is>
      </c>
      <c r="C183" t="n">
        <v>1507.81</v>
      </c>
      <c r="D183" t="inlineStr">
        <is>
          <t>675000</t>
        </is>
      </c>
    </row>
    <row r="184">
      <c r="A184" t="n">
        <v>6200</v>
      </c>
      <c r="B184" t="inlineStr">
        <is>
          <t>2026-05-23</t>
        </is>
      </c>
      <c r="C184" t="n">
        <v>3694.59</v>
      </c>
      <c r="D184" t="inlineStr">
        <is>
          <t>620000</t>
        </is>
      </c>
    </row>
    <row r="185">
      <c r="A185" t="n">
        <v>4100</v>
      </c>
      <c r="B185" t="inlineStr">
        <is>
          <t>2026-05-24</t>
        </is>
      </c>
      <c r="C185" t="n">
        <v>39336.65</v>
      </c>
      <c r="D185" t="inlineStr">
        <is>
          <t>410000</t>
        </is>
      </c>
    </row>
    <row r="186">
      <c r="A186" t="n">
        <v>6500</v>
      </c>
      <c r="B186" t="inlineStr">
        <is>
          <t>2026-05-24</t>
        </is>
      </c>
      <c r="C186" t="n">
        <v>306.6</v>
      </c>
      <c r="D186" t="inlineStr">
        <is>
          <t>650000</t>
        </is>
      </c>
    </row>
    <row r="187">
      <c r="A187" t="n">
        <v>6600</v>
      </c>
      <c r="B187" t="inlineStr">
        <is>
          <t>2026-05-24</t>
        </is>
      </c>
      <c r="C187" t="n">
        <v>136.9</v>
      </c>
      <c r="D187" t="inlineStr">
        <is>
          <t>660000</t>
        </is>
      </c>
    </row>
    <row r="188">
      <c r="A188" t="n">
        <v>4400</v>
      </c>
      <c r="B188" t="inlineStr">
        <is>
          <t>2026-05-26</t>
        </is>
      </c>
      <c r="C188" t="n">
        <v>384.7</v>
      </c>
      <c r="D188" t="inlineStr">
        <is>
          <t>440000</t>
        </is>
      </c>
    </row>
    <row r="189">
      <c r="A189" t="n">
        <v>4400</v>
      </c>
      <c r="B189" t="inlineStr">
        <is>
          <t>2026-05-26</t>
        </is>
      </c>
      <c r="C189" t="n">
        <v>48.24</v>
      </c>
      <c r="D189" t="inlineStr">
        <is>
          <t>440000</t>
        </is>
      </c>
    </row>
    <row r="190">
      <c r="A190" t="n">
        <v>5400</v>
      </c>
      <c r="B190" t="inlineStr">
        <is>
          <t>2026-05-26</t>
        </is>
      </c>
      <c r="C190" t="n">
        <v>1968.06</v>
      </c>
      <c r="D190" t="inlineStr">
        <is>
          <t>540000</t>
        </is>
      </c>
    </row>
    <row r="191">
      <c r="A191" t="n">
        <v>5500</v>
      </c>
      <c r="B191" t="inlineStr">
        <is>
          <t>2026-05-26</t>
        </is>
      </c>
      <c r="C191" t="n">
        <v>1715.34</v>
      </c>
      <c r="D191" t="inlineStr">
        <is>
          <t>550000</t>
        </is>
      </c>
    </row>
    <row r="192">
      <c r="A192" t="n">
        <v>6100</v>
      </c>
      <c r="B192" t="inlineStr">
        <is>
          <t>2026-05-28</t>
        </is>
      </c>
      <c r="C192" t="n">
        <v>7018.47</v>
      </c>
      <c r="D192" t="inlineStr">
        <is>
          <t>610000</t>
        </is>
      </c>
    </row>
    <row r="193">
      <c r="A193" t="n">
        <v>6600</v>
      </c>
      <c r="B193" t="inlineStr">
        <is>
          <t>2026-05-28</t>
        </is>
      </c>
      <c r="C193" t="n">
        <v>283.62</v>
      </c>
      <c r="D193" t="inlineStr">
        <is>
          <t>660000</t>
        </is>
      </c>
    </row>
    <row r="194">
      <c r="A194" t="n">
        <v>4100</v>
      </c>
      <c r="B194" t="inlineStr">
        <is>
          <t>2026-06-01</t>
        </is>
      </c>
      <c r="C194" t="n">
        <v>20844.98</v>
      </c>
      <c r="D194" t="inlineStr">
        <is>
          <t>410010</t>
        </is>
      </c>
    </row>
    <row r="195">
      <c r="A195" t="n">
        <v>4300</v>
      </c>
      <c r="B195" t="inlineStr">
        <is>
          <t>2026-06-01</t>
        </is>
      </c>
      <c r="C195" t="n">
        <v>989.17</v>
      </c>
      <c r="D195" t="inlineStr">
        <is>
          <t>430000</t>
        </is>
      </c>
    </row>
    <row r="196">
      <c r="A196" t="n">
        <v>5400</v>
      </c>
      <c r="B196" t="inlineStr">
        <is>
          <t>2026-06-01</t>
        </is>
      </c>
      <c r="C196" t="n">
        <v>394.17</v>
      </c>
      <c r="D196" t="inlineStr">
        <is>
          <t>540000</t>
        </is>
      </c>
    </row>
    <row r="197">
      <c r="A197" t="n">
        <v>6200</v>
      </c>
      <c r="B197" t="inlineStr">
        <is>
          <t>2026-06-01</t>
        </is>
      </c>
      <c r="C197" t="n">
        <v>3475.56</v>
      </c>
      <c r="D197" t="inlineStr">
        <is>
          <t>620000</t>
        </is>
      </c>
    </row>
    <row r="198">
      <c r="A198" t="n">
        <v>4400</v>
      </c>
      <c r="B198" t="inlineStr">
        <is>
          <t>2026-06-04</t>
        </is>
      </c>
      <c r="C198" t="n">
        <v>4081.31</v>
      </c>
      <c r="D198" t="inlineStr">
        <is>
          <t>440000</t>
        </is>
      </c>
    </row>
    <row r="199">
      <c r="A199" t="n">
        <v>5300</v>
      </c>
      <c r="B199" t="inlineStr">
        <is>
          <t>2026-06-05</t>
        </is>
      </c>
      <c r="C199" t="n">
        <v>423.24</v>
      </c>
      <c r="D199" t="inlineStr">
        <is>
          <t>530010</t>
        </is>
      </c>
    </row>
    <row r="200">
      <c r="A200" t="n">
        <v>6500</v>
      </c>
      <c r="B200" t="inlineStr">
        <is>
          <t>2026-06-05</t>
        </is>
      </c>
      <c r="C200" t="n">
        <v>300.01</v>
      </c>
      <c r="D200" t="inlineStr">
        <is>
          <t>650000</t>
        </is>
      </c>
    </row>
    <row r="201">
      <c r="A201" t="n">
        <v>6700</v>
      </c>
      <c r="B201" t="inlineStr">
        <is>
          <t>2026-06-05</t>
        </is>
      </c>
      <c r="C201" t="n">
        <v>356.64</v>
      </c>
      <c r="D201" t="inlineStr">
        <is>
          <t>670000</t>
        </is>
      </c>
    </row>
    <row r="202">
      <c r="A202" t="n">
        <v>4400</v>
      </c>
      <c r="B202" t="inlineStr">
        <is>
          <t>2026-06-06</t>
        </is>
      </c>
      <c r="C202" t="n">
        <v>8621.49</v>
      </c>
      <c r="D202" t="inlineStr">
        <is>
          <t>440000</t>
        </is>
      </c>
    </row>
    <row r="203">
      <c r="A203" t="n">
        <v>5300</v>
      </c>
      <c r="B203" t="inlineStr">
        <is>
          <t>2026-06-07</t>
        </is>
      </c>
      <c r="C203" t="n">
        <v>2227.66</v>
      </c>
      <c r="D203" t="inlineStr">
        <is>
          <t>530010</t>
        </is>
      </c>
    </row>
    <row r="204">
      <c r="A204" t="n">
        <v>5400</v>
      </c>
      <c r="B204" t="inlineStr">
        <is>
          <t>2026-06-07</t>
        </is>
      </c>
      <c r="C204" t="n">
        <v>72.52</v>
      </c>
      <c r="D204" t="inlineStr">
        <is>
          <t>540000</t>
        </is>
      </c>
    </row>
    <row r="205">
      <c r="A205" t="n">
        <v>5500</v>
      </c>
      <c r="B205" t="inlineStr">
        <is>
          <t>2026-06-07</t>
        </is>
      </c>
      <c r="C205" t="n">
        <v>609.15</v>
      </c>
      <c r="D205" t="inlineStr">
        <is>
          <t>550000</t>
        </is>
      </c>
    </row>
    <row r="206">
      <c r="A206" t="n">
        <v>6600</v>
      </c>
      <c r="B206" t="inlineStr">
        <is>
          <t>2026-06-07</t>
        </is>
      </c>
      <c r="C206" t="n">
        <v>758.12</v>
      </c>
      <c r="D206" t="inlineStr">
        <is>
          <t>660000</t>
        </is>
      </c>
    </row>
    <row r="207">
      <c r="A207" t="n">
        <v>5300</v>
      </c>
      <c r="B207" t="inlineStr">
        <is>
          <t>2026-06-08</t>
        </is>
      </c>
      <c r="C207" t="n">
        <v>1216.78</v>
      </c>
      <c r="D207" t="inlineStr">
        <is>
          <t>530010</t>
        </is>
      </c>
    </row>
    <row r="208">
      <c r="A208" t="n">
        <v>5400</v>
      </c>
      <c r="B208" t="inlineStr">
        <is>
          <t>2026-06-08</t>
        </is>
      </c>
      <c r="C208" t="n">
        <v>-912.72</v>
      </c>
      <c r="D208" t="inlineStr">
        <is>
          <t>540000</t>
        </is>
      </c>
    </row>
    <row r="209">
      <c r="A209" t="n">
        <v>5500</v>
      </c>
      <c r="B209" t="inlineStr">
        <is>
          <t>2026-06-08</t>
        </is>
      </c>
      <c r="C209" t="n">
        <v>4.3</v>
      </c>
      <c r="D209" t="inlineStr">
        <is>
          <t>550000</t>
        </is>
      </c>
    </row>
    <row r="210">
      <c r="A210" t="n">
        <v>6100</v>
      </c>
      <c r="B210" t="inlineStr">
        <is>
          <t>2026-06-08</t>
        </is>
      </c>
      <c r="C210" t="n">
        <v>3914.77</v>
      </c>
      <c r="D210" t="inlineStr">
        <is>
          <t>610000</t>
        </is>
      </c>
    </row>
    <row r="211">
      <c r="A211" t="n">
        <v>5300</v>
      </c>
      <c r="B211" t="inlineStr">
        <is>
          <t>2026-06-09</t>
        </is>
      </c>
      <c r="C211" t="n">
        <v>280.35</v>
      </c>
      <c r="D211" t="inlineStr">
        <is>
          <t>530000</t>
        </is>
      </c>
    </row>
    <row r="212">
      <c r="A212" t="n">
        <v>5300</v>
      </c>
      <c r="B212" t="inlineStr">
        <is>
          <t>2026-06-09</t>
        </is>
      </c>
      <c r="C212" t="n">
        <v>1395.14</v>
      </c>
      <c r="D212" t="inlineStr">
        <is>
          <t>530000</t>
        </is>
      </c>
    </row>
    <row r="213">
      <c r="A213" t="n">
        <v>4300</v>
      </c>
      <c r="B213" t="inlineStr">
        <is>
          <t>2026-06-10</t>
        </is>
      </c>
      <c r="C213" t="n">
        <v>1986.47</v>
      </c>
      <c r="D213" t="inlineStr">
        <is>
          <t>430000</t>
        </is>
      </c>
    </row>
    <row r="214">
      <c r="A214" t="n">
        <v>5500</v>
      </c>
      <c r="B214" t="inlineStr">
        <is>
          <t>2026-06-10</t>
        </is>
      </c>
      <c r="C214" t="n">
        <v>95.83</v>
      </c>
      <c r="D214" t="inlineStr">
        <is>
          <t>550000</t>
        </is>
      </c>
    </row>
    <row r="215">
      <c r="A215" t="n">
        <v>6400</v>
      </c>
      <c r="B215" t="inlineStr">
        <is>
          <t>2026-06-10</t>
        </is>
      </c>
      <c r="C215" t="n">
        <v>6671.87</v>
      </c>
      <c r="D215" t="inlineStr">
        <is>
          <t>640000</t>
        </is>
      </c>
    </row>
    <row r="216">
      <c r="A216" t="n">
        <v>4100</v>
      </c>
      <c r="B216" t="inlineStr">
        <is>
          <t>2026-06-11</t>
        </is>
      </c>
      <c r="C216" t="n">
        <v>-570.09</v>
      </c>
      <c r="D216" t="inlineStr">
        <is>
          <t>410000</t>
        </is>
      </c>
    </row>
    <row r="217">
      <c r="A217" t="n">
        <v>6300</v>
      </c>
      <c r="B217" t="inlineStr">
        <is>
          <t>2026-06-12</t>
        </is>
      </c>
      <c r="C217" t="n">
        <v>3606.68</v>
      </c>
      <c r="D217" t="inlineStr">
        <is>
          <t>630000</t>
        </is>
      </c>
    </row>
    <row r="218">
      <c r="A218" t="n">
        <v>4100</v>
      </c>
      <c r="B218" t="inlineStr">
        <is>
          <t>2026-06-13</t>
        </is>
      </c>
      <c r="C218" t="n">
        <v>-1050.24</v>
      </c>
      <c r="D218" t="inlineStr">
        <is>
          <t>410000</t>
        </is>
      </c>
    </row>
    <row r="219">
      <c r="A219" t="n">
        <v>6500</v>
      </c>
      <c r="B219" t="inlineStr">
        <is>
          <t>2026-06-13</t>
        </is>
      </c>
      <c r="C219" t="n">
        <v>592.02</v>
      </c>
      <c r="D219" t="inlineStr">
        <is>
          <t>650000</t>
        </is>
      </c>
    </row>
    <row r="220">
      <c r="A220" t="n">
        <v>5400</v>
      </c>
      <c r="B220" t="inlineStr">
        <is>
          <t>2026-06-14</t>
        </is>
      </c>
      <c r="C220" t="n">
        <v>931.6900000000001</v>
      </c>
      <c r="D220" t="inlineStr">
        <is>
          <t>540000</t>
        </is>
      </c>
    </row>
    <row r="221">
      <c r="A221" t="n">
        <v>6500</v>
      </c>
      <c r="B221" t="inlineStr">
        <is>
          <t>2026-06-14</t>
        </is>
      </c>
      <c r="C221" t="n">
        <v>3.78</v>
      </c>
      <c r="D221" t="inlineStr">
        <is>
          <t>650000</t>
        </is>
      </c>
    </row>
    <row r="222">
      <c r="A222" t="n">
        <v>6500</v>
      </c>
      <c r="B222" t="inlineStr">
        <is>
          <t>2026-06-14</t>
        </is>
      </c>
      <c r="C222" t="n">
        <v>218.44</v>
      </c>
      <c r="D222" t="inlineStr">
        <is>
          <t>650000</t>
        </is>
      </c>
    </row>
    <row r="223">
      <c r="A223" t="n">
        <v>6600</v>
      </c>
      <c r="B223" t="inlineStr">
        <is>
          <t>2026-06-15</t>
        </is>
      </c>
      <c r="C223" t="n">
        <v>50.63</v>
      </c>
      <c r="D223" t="inlineStr">
        <is>
          <t>660000</t>
        </is>
      </c>
    </row>
    <row r="224">
      <c r="A224" t="n">
        <v>5100</v>
      </c>
      <c r="B224" t="inlineStr">
        <is>
          <t>2026-06-16</t>
        </is>
      </c>
      <c r="C224" t="n">
        <v>26883.75</v>
      </c>
      <c r="D224" t="inlineStr">
        <is>
          <t>510000</t>
        </is>
      </c>
    </row>
    <row r="225">
      <c r="A225" t="n">
        <v>5200</v>
      </c>
      <c r="B225" t="inlineStr">
        <is>
          <t>2026-06-16</t>
        </is>
      </c>
      <c r="C225" t="n">
        <v>20354.93</v>
      </c>
      <c r="D225" t="inlineStr">
        <is>
          <t>520000</t>
        </is>
      </c>
    </row>
    <row r="226">
      <c r="A226" t="n">
        <v>4300</v>
      </c>
      <c r="B226" t="inlineStr">
        <is>
          <t>2026-06-17</t>
        </is>
      </c>
      <c r="C226" t="n">
        <v>1406.13</v>
      </c>
      <c r="D226" t="inlineStr">
        <is>
          <t>430000</t>
        </is>
      </c>
    </row>
    <row r="227">
      <c r="A227" t="n">
        <v>4400</v>
      </c>
      <c r="B227" t="inlineStr">
        <is>
          <t>2026-06-18</t>
        </is>
      </c>
      <c r="C227" t="n">
        <v>4076.07</v>
      </c>
      <c r="D227" t="inlineStr">
        <is>
          <t>440000</t>
        </is>
      </c>
    </row>
    <row r="228">
      <c r="A228" t="n">
        <v>4300</v>
      </c>
      <c r="B228" t="inlineStr">
        <is>
          <t>2026-06-20</t>
        </is>
      </c>
      <c r="C228" t="n">
        <v>1731.31</v>
      </c>
      <c r="D228" t="inlineStr">
        <is>
          <t>430000</t>
        </is>
      </c>
    </row>
    <row r="229">
      <c r="A229" t="n">
        <v>5500</v>
      </c>
      <c r="B229" t="inlineStr">
        <is>
          <t>2026-06-20</t>
        </is>
      </c>
      <c r="C229" t="n">
        <v>328.78</v>
      </c>
      <c r="D229" t="inlineStr">
        <is>
          <t>550000</t>
        </is>
      </c>
    </row>
    <row r="230">
      <c r="A230" t="n">
        <v>5400</v>
      </c>
      <c r="B230" t="inlineStr">
        <is>
          <t>2026-06-21</t>
        </is>
      </c>
      <c r="C230" t="n">
        <v>1295.12</v>
      </c>
      <c r="D230" t="inlineStr">
        <is>
          <t>540000</t>
        </is>
      </c>
    </row>
    <row r="231">
      <c r="A231" t="n">
        <v>6750</v>
      </c>
      <c r="B231" t="inlineStr">
        <is>
          <t>2026-06-21</t>
        </is>
      </c>
      <c r="C231" t="n">
        <v>753.01</v>
      </c>
      <c r="D231" t="inlineStr">
        <is>
          <t>675000</t>
        </is>
      </c>
    </row>
    <row r="232">
      <c r="A232" t="n">
        <v>4100</v>
      </c>
      <c r="B232" t="inlineStr">
        <is>
          <t>2026-06-22</t>
        </is>
      </c>
      <c r="C232" t="n">
        <v>50030.34</v>
      </c>
      <c r="D232" t="inlineStr">
        <is>
          <t>410000</t>
        </is>
      </c>
    </row>
    <row r="233">
      <c r="A233" t="n">
        <v>4300</v>
      </c>
      <c r="B233" t="inlineStr">
        <is>
          <t>2026-06-22</t>
        </is>
      </c>
      <c r="C233" t="n">
        <v>2412.75</v>
      </c>
      <c r="D233" t="inlineStr">
        <is>
          <t>430000</t>
        </is>
      </c>
    </row>
    <row r="234">
      <c r="A234" t="n">
        <v>5200</v>
      </c>
      <c r="B234" t="inlineStr">
        <is>
          <t>2026-06-22</t>
        </is>
      </c>
      <c r="C234" t="n">
        <v>8439.33</v>
      </c>
      <c r="D234" t="inlineStr">
        <is>
          <t>520000</t>
        </is>
      </c>
    </row>
    <row r="235">
      <c r="A235" t="n">
        <v>5500</v>
      </c>
      <c r="B235" t="inlineStr">
        <is>
          <t>2026-06-22</t>
        </is>
      </c>
      <c r="C235" t="n">
        <v>1109.92</v>
      </c>
      <c r="D235" t="inlineStr">
        <is>
          <t>550000</t>
        </is>
      </c>
    </row>
    <row r="236">
      <c r="A236" t="n">
        <v>6750</v>
      </c>
      <c r="B236" t="inlineStr">
        <is>
          <t>2026-06-22</t>
        </is>
      </c>
      <c r="C236" t="n">
        <v>2418.09</v>
      </c>
      <c r="D236" t="inlineStr">
        <is>
          <t>675000</t>
        </is>
      </c>
    </row>
    <row r="237">
      <c r="A237" t="n">
        <v>4400</v>
      </c>
      <c r="B237" t="inlineStr">
        <is>
          <t>2026-06-23</t>
        </is>
      </c>
      <c r="C237" t="n">
        <v>1063.48</v>
      </c>
      <c r="D237" t="inlineStr">
        <is>
          <t>440000</t>
        </is>
      </c>
    </row>
    <row r="238">
      <c r="A238" t="n">
        <v>4100</v>
      </c>
      <c r="B238" t="inlineStr">
        <is>
          <t>2026-06-24</t>
        </is>
      </c>
      <c r="C238" t="n">
        <v>41630.45</v>
      </c>
      <c r="D238" t="inlineStr">
        <is>
          <t>410000</t>
        </is>
      </c>
    </row>
    <row r="239">
      <c r="A239" t="n">
        <v>6600</v>
      </c>
      <c r="B239" t="inlineStr">
        <is>
          <t>2026-06-24</t>
        </is>
      </c>
      <c r="C239" t="n">
        <v>148.02</v>
      </c>
      <c r="D239" t="inlineStr">
        <is>
          <t>660000</t>
        </is>
      </c>
    </row>
    <row r="240">
      <c r="A240" t="n">
        <v>6700</v>
      </c>
      <c r="B240" t="inlineStr">
        <is>
          <t>2026-06-24</t>
        </is>
      </c>
      <c r="C240" t="n">
        <v>354.59</v>
      </c>
      <c r="D240" t="inlineStr">
        <is>
          <t>670000</t>
        </is>
      </c>
    </row>
    <row r="241">
      <c r="A241" t="n">
        <v>5100</v>
      </c>
      <c r="B241" t="inlineStr">
        <is>
          <t>2026-06-25</t>
        </is>
      </c>
      <c r="C241" t="n">
        <v>11168.17</v>
      </c>
      <c r="D241" t="inlineStr">
        <is>
          <t>510000</t>
        </is>
      </c>
    </row>
    <row r="242">
      <c r="A242" t="n">
        <v>6700</v>
      </c>
      <c r="B242" t="inlineStr">
        <is>
          <t>2026-06-25</t>
        </is>
      </c>
      <c r="C242" t="n">
        <v>412.65</v>
      </c>
      <c r="D242" t="inlineStr">
        <is>
          <t>670000</t>
        </is>
      </c>
    </row>
    <row r="243">
      <c r="A243" t="n">
        <v>4100</v>
      </c>
      <c r="B243" t="inlineStr">
        <is>
          <t>2026-06-26</t>
        </is>
      </c>
      <c r="C243" t="n">
        <v>10534.15</v>
      </c>
      <c r="D243" t="inlineStr">
        <is>
          <t>410010</t>
        </is>
      </c>
    </row>
    <row r="244">
      <c r="A244" t="n">
        <v>6500</v>
      </c>
      <c r="B244" t="inlineStr">
        <is>
          <t>2026-06-26</t>
        </is>
      </c>
      <c r="C244" t="n">
        <v>150.11</v>
      </c>
      <c r="D244" t="inlineStr">
        <is>
          <t>650000</t>
        </is>
      </c>
    </row>
    <row r="245">
      <c r="A245" t="n">
        <v>6100</v>
      </c>
      <c r="B245" t="inlineStr">
        <is>
          <t>2026-06-27</t>
        </is>
      </c>
      <c r="C245" t="n">
        <v>7840.14</v>
      </c>
      <c r="D245" t="inlineStr">
        <is>
          <t>610000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