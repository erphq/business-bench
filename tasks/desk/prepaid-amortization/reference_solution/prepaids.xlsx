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" sheetId="1" state="visible" r:id="rId1"/>
    <sheet name="Roll-forw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36" customWidth="1" min="2" max="2"/>
  </cols>
  <sheetData>
    <row r="1">
      <c r="A1" s="1" t="inlineStr">
        <is>
          <t>Vendor</t>
        </is>
      </c>
      <c r="B1" s="1" t="inlineStr">
        <is>
          <t>Item</t>
        </is>
      </c>
      <c r="C1" s="1" t="inlineStr">
        <is>
          <t>Coverage start</t>
        </is>
      </c>
      <c r="D1" s="1" t="inlineStr">
        <is>
          <t>Last covered day</t>
        </is>
      </c>
      <c r="E1" s="1" t="inlineStr">
        <is>
          <t>Amount paid</t>
        </is>
      </c>
      <c r="F1" s="1" t="inlineStr">
        <is>
          <t>Balance 2026-01-01</t>
        </is>
      </c>
      <c r="G1" s="1" t="inlineStr">
        <is>
          <t>Paid in 2026</t>
        </is>
      </c>
      <c r="H1" s="1" t="inlineStr">
        <is>
          <t>Refund received</t>
        </is>
      </c>
      <c r="I1" s="1" t="inlineStr">
        <is>
          <t>2026-01</t>
        </is>
      </c>
      <c r="J1" s="1" t="inlineStr">
        <is>
          <t>2026-02</t>
        </is>
      </c>
      <c r="K1" s="1" t="inlineStr">
        <is>
          <t>2026-03</t>
        </is>
      </c>
      <c r="L1" s="1" t="inlineStr">
        <is>
          <t>2026-04</t>
        </is>
      </c>
      <c r="M1" s="1" t="inlineStr">
        <is>
          <t>2026-05</t>
        </is>
      </c>
      <c r="N1" s="1" t="inlineStr">
        <is>
          <t>2026-06</t>
        </is>
      </c>
      <c r="O1" s="1" t="inlineStr">
        <is>
          <t>2026-07</t>
        </is>
      </c>
      <c r="P1" s="1" t="inlineStr">
        <is>
          <t>2026-08</t>
        </is>
      </c>
      <c r="Q1" s="1" t="inlineStr">
        <is>
          <t>2026-09</t>
        </is>
      </c>
      <c r="R1" s="1" t="inlineStr">
        <is>
          <t>2026-10</t>
        </is>
      </c>
      <c r="S1" s="1" t="inlineStr">
        <is>
          <t>2026-11</t>
        </is>
      </c>
      <c r="T1" s="1" t="inlineStr">
        <is>
          <t>2026-12</t>
        </is>
      </c>
      <c r="U1" s="1" t="inlineStr">
        <is>
          <t>Expense 2026</t>
        </is>
      </c>
      <c r="V1" s="1" t="inlineStr">
        <is>
          <t>Balance 2026-12-31</t>
        </is>
      </c>
    </row>
    <row r="2">
      <c r="A2" t="inlineStr">
        <is>
          <t>Harborline Mutual Insurance</t>
        </is>
      </c>
      <c r="B2" t="inlineStr">
        <is>
          <t>General liability policy</t>
        </is>
      </c>
      <c r="C2" t="inlineStr">
        <is>
          <t>2025-07-01</t>
        </is>
      </c>
      <c r="D2" t="inlineStr">
        <is>
          <t>2026-06-30</t>
        </is>
      </c>
      <c r="E2" s="2" t="n">
        <v>12445</v>
      </c>
      <c r="F2" s="2" t="n">
        <v>6171.36</v>
      </c>
      <c r="G2" s="2" t="n">
        <v>0</v>
      </c>
      <c r="H2" s="2" t="n">
        <v>0</v>
      </c>
      <c r="I2" s="2" t="n">
        <v>1056.97</v>
      </c>
      <c r="J2" s="2" t="n">
        <v>954.6799999999999</v>
      </c>
      <c r="K2" s="2" t="n">
        <v>1056.97</v>
      </c>
      <c r="L2" s="2" t="n">
        <v>1022.88</v>
      </c>
      <c r="M2" s="2" t="n">
        <v>1056.97</v>
      </c>
      <c r="N2" s="2" t="n">
        <v>1022.89</v>
      </c>
      <c r="O2" s="2" t="n">
        <v>0</v>
      </c>
      <c r="P2" s="2" t="n">
        <v>0</v>
      </c>
      <c r="Q2" s="2" t="n">
        <v>0</v>
      </c>
      <c r="R2" s="2" t="n">
        <v>0</v>
      </c>
      <c r="S2" s="2" t="n">
        <v>0</v>
      </c>
      <c r="T2" s="2" t="n">
        <v>0</v>
      </c>
      <c r="U2">
        <f>SUM(I2:T2)</f>
        <v/>
      </c>
      <c r="V2">
        <f>F2+G2-H2-U2</f>
        <v/>
      </c>
    </row>
    <row r="3">
      <c r="A3" t="inlineStr">
        <is>
          <t>RouteWise Software</t>
        </is>
      </c>
      <c r="B3" t="inlineStr">
        <is>
          <t>Route planning software - annual</t>
        </is>
      </c>
      <c r="C3" t="inlineStr">
        <is>
          <t>2025-10-10</t>
        </is>
      </c>
      <c r="D3" t="inlineStr">
        <is>
          <t>2026-10-09</t>
        </is>
      </c>
      <c r="E3" s="2" t="n">
        <v>5894</v>
      </c>
      <c r="F3" s="2" t="n">
        <v>4553.72</v>
      </c>
      <c r="G3" s="2" t="n">
        <v>0</v>
      </c>
      <c r="H3" s="2" t="n">
        <v>0</v>
      </c>
      <c r="I3" s="2" t="n">
        <v>500.59</v>
      </c>
      <c r="J3" s="2" t="n">
        <v>452.14</v>
      </c>
      <c r="K3" s="2" t="n">
        <v>500.59</v>
      </c>
      <c r="L3" s="2" t="n">
        <v>484.44</v>
      </c>
      <c r="M3" s="2" t="n">
        <v>500.59</v>
      </c>
      <c r="N3" s="2" t="n">
        <v>484.44</v>
      </c>
      <c r="O3" s="2" t="n">
        <v>500.59</v>
      </c>
      <c r="P3" s="2" t="n">
        <v>500.59</v>
      </c>
      <c r="Q3" s="2" t="n">
        <v>484.44</v>
      </c>
      <c r="R3" s="2" t="n">
        <v>145.31</v>
      </c>
      <c r="S3" s="2" t="n">
        <v>0</v>
      </c>
      <c r="T3" s="2" t="n">
        <v>0</v>
      </c>
      <c r="U3">
        <f>SUM(I3:T3)</f>
        <v/>
      </c>
      <c r="V3">
        <f>F3+G3-H3-U3</f>
        <v/>
      </c>
    </row>
    <row r="4">
      <c r="A4" t="inlineStr">
        <is>
          <t>Northwest Cleaning Contractors Assn</t>
        </is>
      </c>
      <c r="B4" t="inlineStr">
        <is>
          <t>2025 membership dues</t>
        </is>
      </c>
      <c r="C4" t="inlineStr">
        <is>
          <t>2025-01-01</t>
        </is>
      </c>
      <c r="D4" t="inlineStr">
        <is>
          <t>2025-12-31</t>
        </is>
      </c>
      <c r="E4" s="2" t="n">
        <v>2400</v>
      </c>
      <c r="F4" s="2" t="n">
        <v>0</v>
      </c>
      <c r="G4" s="2" t="n">
        <v>0</v>
      </c>
      <c r="H4" s="2" t="n">
        <v>0</v>
      </c>
      <c r="I4" s="2" t="n">
        <v>0</v>
      </c>
      <c r="J4" s="2" t="n">
        <v>0</v>
      </c>
      <c r="K4" s="2" t="n">
        <v>0</v>
      </c>
      <c r="L4" s="2" t="n">
        <v>0</v>
      </c>
      <c r="M4" s="2" t="n">
        <v>0</v>
      </c>
      <c r="N4" s="2" t="n">
        <v>0</v>
      </c>
      <c r="O4" s="2" t="n">
        <v>0</v>
      </c>
      <c r="P4" s="2" t="n">
        <v>0</v>
      </c>
      <c r="Q4" s="2" t="n">
        <v>0</v>
      </c>
      <c r="R4" s="2" t="n">
        <v>0</v>
      </c>
      <c r="S4" s="2" t="n">
        <v>0</v>
      </c>
      <c r="T4" s="2" t="n">
        <v>0</v>
      </c>
      <c r="U4">
        <f>SUM(I4:T4)</f>
        <v/>
      </c>
      <c r="V4">
        <f>F4+G4-H4-U4</f>
        <v/>
      </c>
    </row>
    <row r="5">
      <c r="A5" t="inlineStr">
        <is>
          <t>Keystone Commercial Auto</t>
        </is>
      </c>
      <c r="B5" t="inlineStr">
        <is>
          <t>Commercial auto policy - 9 vans</t>
        </is>
      </c>
      <c r="C5" t="inlineStr">
        <is>
          <t>2026-03-19</t>
        </is>
      </c>
      <c r="D5" t="inlineStr">
        <is>
          <t>2027-03-18</t>
        </is>
      </c>
      <c r="E5" s="2" t="n">
        <v>25522</v>
      </c>
      <c r="F5" s="2" t="n">
        <v>0</v>
      </c>
      <c r="G5" s="2" t="n">
        <v>25522</v>
      </c>
      <c r="H5" s="2" t="n">
        <v>0</v>
      </c>
      <c r="I5" s="2" t="n">
        <v>0</v>
      </c>
      <c r="J5" s="2" t="n">
        <v>0</v>
      </c>
      <c r="K5" s="2" t="n">
        <v>909</v>
      </c>
      <c r="L5" s="2" t="n">
        <v>2097.7</v>
      </c>
      <c r="M5" s="2" t="n">
        <v>2167.62</v>
      </c>
      <c r="N5" s="2" t="n">
        <v>2097.7</v>
      </c>
      <c r="O5" s="2" t="n">
        <v>2167.62</v>
      </c>
      <c r="P5" s="2" t="n">
        <v>2167.62</v>
      </c>
      <c r="Q5" s="2" t="n">
        <v>2097.7</v>
      </c>
      <c r="R5" s="2" t="n">
        <v>2167.62</v>
      </c>
      <c r="S5" s="2" t="n">
        <v>2097.7</v>
      </c>
      <c r="T5" s="2" t="n">
        <v>2167.62</v>
      </c>
      <c r="U5">
        <f>SUM(I5:T5)</f>
        <v/>
      </c>
      <c r="V5">
        <f>F5+G5-H5-U5</f>
        <v/>
      </c>
    </row>
    <row r="6">
      <c r="A6" t="inlineStr">
        <is>
          <t>Cascadia Workers' Comp Fund</t>
        </is>
      </c>
      <c r="B6" t="inlineStr">
        <is>
          <t>Workers' compensation policy</t>
        </is>
      </c>
      <c r="C6" t="inlineStr">
        <is>
          <t>2026-04-11</t>
        </is>
      </c>
      <c r="D6" t="inlineStr">
        <is>
          <t>2027-04-10</t>
        </is>
      </c>
      <c r="E6" s="2" t="n">
        <v>11779</v>
      </c>
      <c r="F6" s="2" t="n">
        <v>0</v>
      </c>
      <c r="G6" s="2" t="n">
        <v>11779</v>
      </c>
      <c r="H6" s="2" t="n">
        <v>0</v>
      </c>
      <c r="I6" s="2" t="n">
        <v>0</v>
      </c>
      <c r="J6" s="2" t="n">
        <v>0</v>
      </c>
      <c r="K6" s="2" t="n">
        <v>0</v>
      </c>
      <c r="L6" s="2" t="n">
        <v>645.42</v>
      </c>
      <c r="M6" s="2" t="n">
        <v>1000.41</v>
      </c>
      <c r="N6" s="2" t="n">
        <v>968.14</v>
      </c>
      <c r="O6" s="2" t="n">
        <v>1000.41</v>
      </c>
      <c r="P6" s="2" t="n">
        <v>1000.41</v>
      </c>
      <c r="Q6" s="2" t="n">
        <v>968.14</v>
      </c>
      <c r="R6" s="2" t="n">
        <v>1000.41</v>
      </c>
      <c r="S6" s="2" t="n">
        <v>968.14</v>
      </c>
      <c r="T6" s="2" t="n">
        <v>1000.41</v>
      </c>
      <c r="U6">
        <f>SUM(I6:T6)</f>
        <v/>
      </c>
      <c r="V6">
        <f>F6+G6-H6-U6</f>
        <v/>
      </c>
    </row>
    <row r="7">
      <c r="A7" t="inlineStr">
        <is>
          <t>Summit Specialty Underwriters</t>
        </is>
      </c>
      <c r="B7" t="inlineStr">
        <is>
          <t>Inland marine floater - floor machines</t>
        </is>
      </c>
      <c r="C7" t="inlineStr">
        <is>
          <t>2026-02-01</t>
        </is>
      </c>
      <c r="D7" t="inlineStr">
        <is>
          <t>2026-08-11</t>
        </is>
      </c>
      <c r="E7" s="2" t="n">
        <v>3588</v>
      </c>
      <c r="F7" s="2" t="n">
        <v>0</v>
      </c>
      <c r="G7" s="2" t="n">
        <v>3588</v>
      </c>
      <c r="H7" s="2" t="n">
        <v>1445.54</v>
      </c>
      <c r="I7" s="2" t="n">
        <v>0</v>
      </c>
      <c r="J7" s="2" t="n">
        <v>275.24</v>
      </c>
      <c r="K7" s="2" t="n">
        <v>304.73</v>
      </c>
      <c r="L7" s="2" t="n">
        <v>294.9</v>
      </c>
      <c r="M7" s="2" t="n">
        <v>304.73</v>
      </c>
      <c r="N7" s="2" t="n">
        <v>294.9</v>
      </c>
      <c r="O7" s="2" t="n">
        <v>304.73</v>
      </c>
      <c r="P7" s="2" t="n">
        <v>363.23</v>
      </c>
      <c r="Q7" s="2" t="n">
        <v>0</v>
      </c>
      <c r="R7" s="2" t="n">
        <v>0</v>
      </c>
      <c r="S7" s="2" t="n">
        <v>0</v>
      </c>
      <c r="T7" s="2" t="n">
        <v>0</v>
      </c>
      <c r="U7">
        <f>SUM(I7:T7)</f>
        <v/>
      </c>
      <c r="V7">
        <f>F7+G7-H7-U7</f>
        <v/>
      </c>
    </row>
    <row r="8">
      <c r="A8" t="inlineStr">
        <is>
          <t>Northwest Cleaning Contractors Assn</t>
        </is>
      </c>
      <c r="B8" t="inlineStr">
        <is>
          <t>2026 membership dues</t>
        </is>
      </c>
      <c r="C8" t="inlineStr">
        <is>
          <t>2026-01-01</t>
        </is>
      </c>
      <c r="D8" t="inlineStr">
        <is>
          <t>2026-12-31</t>
        </is>
      </c>
      <c r="E8" s="2" t="n">
        <v>2650</v>
      </c>
      <c r="F8" s="2" t="n">
        <v>0</v>
      </c>
      <c r="G8" s="2" t="n">
        <v>2650</v>
      </c>
      <c r="H8" s="2" t="n">
        <v>0</v>
      </c>
      <c r="I8" s="2" t="n">
        <v>225.07</v>
      </c>
      <c r="J8" s="2" t="n">
        <v>203.29</v>
      </c>
      <c r="K8" s="2" t="n">
        <v>225.07</v>
      </c>
      <c r="L8" s="2" t="n">
        <v>217.81</v>
      </c>
      <c r="M8" s="2" t="n">
        <v>225.07</v>
      </c>
      <c r="N8" s="2" t="n">
        <v>217.81</v>
      </c>
      <c r="O8" s="2" t="n">
        <v>225.07</v>
      </c>
      <c r="P8" s="2" t="n">
        <v>225.07</v>
      </c>
      <c r="Q8" s="2" t="n">
        <v>217.81</v>
      </c>
      <c r="R8" s="2" t="n">
        <v>225.07</v>
      </c>
      <c r="S8" s="2" t="n">
        <v>217.81</v>
      </c>
      <c r="T8" s="2" t="n">
        <v>225.05</v>
      </c>
      <c r="U8">
        <f>SUM(I8:T8)</f>
        <v/>
      </c>
      <c r="V8">
        <f>F8+G8-H8-U8</f>
        <v/>
      </c>
    </row>
    <row r="9">
      <c r="A9" t="inlineStr">
        <is>
          <t>ScrubPro Equipment Service</t>
        </is>
      </c>
      <c r="B9" t="inlineStr">
        <is>
          <t>Floor equipment service contract</t>
        </is>
      </c>
      <c r="C9" t="inlineStr">
        <is>
          <t>2026-06-01</t>
        </is>
      </c>
      <c r="D9" t="inlineStr">
        <is>
          <t>2027-05-31</t>
        </is>
      </c>
      <c r="E9" s="2" t="n">
        <v>5770</v>
      </c>
      <c r="F9" s="2" t="n">
        <v>0</v>
      </c>
      <c r="G9" s="2" t="n">
        <v>5770</v>
      </c>
      <c r="H9" s="2" t="n">
        <v>0</v>
      </c>
      <c r="I9" s="2" t="n">
        <v>0</v>
      </c>
      <c r="J9" s="2" t="n">
        <v>0</v>
      </c>
      <c r="K9" s="2" t="n">
        <v>0</v>
      </c>
      <c r="L9" s="2" t="n">
        <v>0</v>
      </c>
      <c r="M9" s="2" t="n">
        <v>0</v>
      </c>
      <c r="N9" s="2" t="n">
        <v>474.25</v>
      </c>
      <c r="O9" s="2" t="n">
        <v>490.05</v>
      </c>
      <c r="P9" s="2" t="n">
        <v>490.05</v>
      </c>
      <c r="Q9" s="2" t="n">
        <v>474.25</v>
      </c>
      <c r="R9" s="2" t="n">
        <v>490.05</v>
      </c>
      <c r="S9" s="2" t="n">
        <v>474.25</v>
      </c>
      <c r="T9" s="2" t="n">
        <v>490.05</v>
      </c>
      <c r="U9">
        <f>SUM(I9:T9)</f>
        <v/>
      </c>
      <c r="V9">
        <f>F9+G9-H9-U9</f>
        <v/>
      </c>
    </row>
    <row r="10">
      <c r="A10" t="inlineStr">
        <is>
          <t>Total</t>
        </is>
      </c>
      <c r="F10">
        <f>SUM(F2:F9)</f>
        <v/>
      </c>
      <c r="G10">
        <f>SUM(G2:G9)</f>
        <v/>
      </c>
      <c r="H10">
        <f>SUM(H2:H9)</f>
        <v/>
      </c>
      <c r="I10">
        <f>SUM(I2:I9)</f>
        <v/>
      </c>
      <c r="J10">
        <f>SUM(J2:J9)</f>
        <v/>
      </c>
      <c r="K10">
        <f>SUM(K2:K9)</f>
        <v/>
      </c>
      <c r="L10">
        <f>SUM(L2:L9)</f>
        <v/>
      </c>
      <c r="M10">
        <f>SUM(M2:M9)</f>
        <v/>
      </c>
      <c r="N10">
        <f>SUM(N2:N9)</f>
        <v/>
      </c>
      <c r="O10">
        <f>SUM(O2:O9)</f>
        <v/>
      </c>
      <c r="P10">
        <f>SUM(P2:P9)</f>
        <v/>
      </c>
      <c r="Q10">
        <f>SUM(Q2:Q9)</f>
        <v/>
      </c>
      <c r="R10">
        <f>SUM(R2:R9)</f>
        <v/>
      </c>
      <c r="S10">
        <f>SUM(S2:S9)</f>
        <v/>
      </c>
      <c r="T10">
        <f>SUM(T2:T9)</f>
        <v/>
      </c>
      <c r="U10">
        <f>SUM(U2:U9)</f>
        <v/>
      </c>
      <c r="V10">
        <f>SUM(V2:V9)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22" customWidth="1" min="2" max="2"/>
    <col width="22" customWidth="1" min="5" max="5"/>
    <col width="22" customWidth="1" min="6" max="6"/>
  </cols>
  <sheetData>
    <row r="1">
      <c r="A1" s="1" t="inlineStr">
        <is>
          <t>Month</t>
        </is>
      </c>
      <c r="B1" s="1" t="inlineStr">
        <is>
          <t>Opening prepaid balance</t>
        </is>
      </c>
      <c r="C1" s="1" t="inlineStr">
        <is>
          <t>Paid</t>
        </is>
      </c>
      <c r="D1" s="1" t="inlineStr">
        <is>
          <t>Refunds</t>
        </is>
      </c>
      <c r="E1" s="1" t="inlineStr">
        <is>
          <t>Amortization expense</t>
        </is>
      </c>
      <c r="F1" s="1" t="inlineStr">
        <is>
          <t>Closing prepaid balance</t>
        </is>
      </c>
    </row>
    <row r="2">
      <c r="A2" t="inlineStr">
        <is>
          <t>2026-01</t>
        </is>
      </c>
      <c r="B2">
        <f>Schedule!F10</f>
        <v/>
      </c>
      <c r="C2" s="2" t="n">
        <v>6238</v>
      </c>
      <c r="D2" s="2" t="n">
        <v>0</v>
      </c>
      <c r="E2">
        <f>Schedule!I10</f>
        <v/>
      </c>
      <c r="F2">
        <f>B2+C2-D2-E2</f>
        <v/>
      </c>
    </row>
    <row r="3">
      <c r="A3" t="inlineStr">
        <is>
          <t>2026-02</t>
        </is>
      </c>
      <c r="B3">
        <f>F2</f>
        <v/>
      </c>
      <c r="C3" s="2" t="n">
        <v>0</v>
      </c>
      <c r="D3" s="2" t="n">
        <v>0</v>
      </c>
      <c r="E3">
        <f>Schedule!J10</f>
        <v/>
      </c>
      <c r="F3">
        <f>B3+C3-D3-E3</f>
        <v/>
      </c>
    </row>
    <row r="4">
      <c r="A4" t="inlineStr">
        <is>
          <t>2026-03</t>
        </is>
      </c>
      <c r="B4">
        <f>F3</f>
        <v/>
      </c>
      <c r="C4" s="2" t="n">
        <v>37301</v>
      </c>
      <c r="D4" s="2" t="n">
        <v>0</v>
      </c>
      <c r="E4">
        <f>Schedule!K10</f>
        <v/>
      </c>
      <c r="F4">
        <f>B4+C4-D4-E4</f>
        <v/>
      </c>
    </row>
    <row r="5">
      <c r="A5" t="inlineStr">
        <is>
          <t>2026-04</t>
        </is>
      </c>
      <c r="B5">
        <f>F4</f>
        <v/>
      </c>
      <c r="C5" s="2" t="n">
        <v>0</v>
      </c>
      <c r="D5" s="2" t="n">
        <v>0</v>
      </c>
      <c r="E5">
        <f>Schedule!L10</f>
        <v/>
      </c>
      <c r="F5">
        <f>B5+C5-D5-E5</f>
        <v/>
      </c>
    </row>
    <row r="6">
      <c r="A6" t="inlineStr">
        <is>
          <t>2026-05</t>
        </is>
      </c>
      <c r="B6">
        <f>F5</f>
        <v/>
      </c>
      <c r="C6" s="2" t="n">
        <v>5770</v>
      </c>
      <c r="D6" s="2" t="n">
        <v>0</v>
      </c>
      <c r="E6">
        <f>Schedule!M10</f>
        <v/>
      </c>
      <c r="F6">
        <f>B6+C6-D6-E6</f>
        <v/>
      </c>
    </row>
    <row r="7">
      <c r="A7" t="inlineStr">
        <is>
          <t>2026-06</t>
        </is>
      </c>
      <c r="B7">
        <f>F6</f>
        <v/>
      </c>
      <c r="C7" s="2" t="n">
        <v>0</v>
      </c>
      <c r="D7" s="2" t="n">
        <v>0</v>
      </c>
      <c r="E7">
        <f>Schedule!N10</f>
        <v/>
      </c>
      <c r="F7">
        <f>B7+C7-D7-E7</f>
        <v/>
      </c>
    </row>
    <row r="8">
      <c r="A8" t="inlineStr">
        <is>
          <t>2026-07</t>
        </is>
      </c>
      <c r="B8">
        <f>F7</f>
        <v/>
      </c>
      <c r="C8" s="2" t="n">
        <v>0</v>
      </c>
      <c r="D8" s="2" t="n">
        <v>0</v>
      </c>
      <c r="E8">
        <f>Schedule!O10</f>
        <v/>
      </c>
      <c r="F8">
        <f>B8+C8-D8-E8</f>
        <v/>
      </c>
    </row>
    <row r="9">
      <c r="A9" t="inlineStr">
        <is>
          <t>2026-08</t>
        </is>
      </c>
      <c r="B9">
        <f>F8</f>
        <v/>
      </c>
      <c r="C9" s="2" t="n">
        <v>0</v>
      </c>
      <c r="D9" s="2" t="n">
        <v>0</v>
      </c>
      <c r="E9">
        <f>Schedule!P10</f>
        <v/>
      </c>
      <c r="F9">
        <f>B9+C9-D9-E9</f>
        <v/>
      </c>
    </row>
    <row r="10">
      <c r="A10" t="inlineStr">
        <is>
          <t>2026-09</t>
        </is>
      </c>
      <c r="B10">
        <f>F9</f>
        <v/>
      </c>
      <c r="C10" s="2" t="n">
        <v>0</v>
      </c>
      <c r="D10" s="2" t="n">
        <v>1445.54</v>
      </c>
      <c r="E10">
        <f>Schedule!Q10</f>
        <v/>
      </c>
      <c r="F10">
        <f>B10+C10-D10-E10</f>
        <v/>
      </c>
    </row>
    <row r="11">
      <c r="A11" t="inlineStr">
        <is>
          <t>2026-10</t>
        </is>
      </c>
      <c r="B11">
        <f>F10</f>
        <v/>
      </c>
      <c r="C11" s="2" t="n">
        <v>0</v>
      </c>
      <c r="D11" s="2" t="n">
        <v>0</v>
      </c>
      <c r="E11">
        <f>Schedule!R10</f>
        <v/>
      </c>
      <c r="F11">
        <f>B11+C11-D11-E11</f>
        <v/>
      </c>
    </row>
    <row r="12">
      <c r="A12" t="inlineStr">
        <is>
          <t>2026-11</t>
        </is>
      </c>
      <c r="B12">
        <f>F11</f>
        <v/>
      </c>
      <c r="C12" s="2" t="n">
        <v>0</v>
      </c>
      <c r="D12" s="2" t="n">
        <v>0</v>
      </c>
      <c r="E12">
        <f>Schedule!S10</f>
        <v/>
      </c>
      <c r="F12">
        <f>B12+C12-D12-E12</f>
        <v/>
      </c>
    </row>
    <row r="13">
      <c r="A13" t="inlineStr">
        <is>
          <t>2026-12</t>
        </is>
      </c>
      <c r="B13">
        <f>F12</f>
        <v/>
      </c>
      <c r="C13" s="2" t="n">
        <v>0</v>
      </c>
      <c r="D13" s="2" t="n">
        <v>0</v>
      </c>
      <c r="E13">
        <f>Schedule!T10</f>
        <v/>
      </c>
      <c r="F13">
        <f>B13+C13-D13-E13</f>
        <v/>
      </c>
    </row>
    <row r="14">
      <c r="A14" t="inlineStr">
        <is>
          <t>Total 2026</t>
        </is>
      </c>
      <c r="C14">
        <f>SUM(C2:C13)</f>
        <v/>
      </c>
      <c r="D14">
        <f>SUM(D2:D13)</f>
        <v/>
      </c>
      <c r="E14">
        <f>SUM(E2:E13)</f>
        <v/>
      </c>
      <c r="F14">
        <f>F13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Brightline Commercial Cleaning</dc:creator>
  <dcterms:created xsi:type="dcterms:W3CDTF">2026-01-15T09:00:00Z</dcterms:created>
  <dcterms:modified xsi:type="dcterms:W3CDTF">2026-01-15T09:00:00Z</dcterms:modified>
  <cp:lastModifiedBy>Brightline Commercial Cleaning</cp:lastModifiedBy>
</cp:coreProperties>
</file>