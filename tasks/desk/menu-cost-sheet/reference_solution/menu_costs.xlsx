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Lines" sheetId="2" state="visible" r:id="rId2"/>
    <sheet name="Pr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Dish</t>
        </is>
      </c>
      <c r="B1" s="1" t="inlineStr">
        <is>
          <t>Plate cost</t>
        </is>
      </c>
      <c r="C1" s="1" t="inlineStr">
        <is>
          <t>Menu price</t>
        </is>
      </c>
      <c r="D1" s="1" t="inlineStr">
        <is>
          <t>Gross margin</t>
        </is>
      </c>
      <c r="E1" s="1" t="inlineStr">
        <is>
          <t>Margin %</t>
        </is>
      </c>
      <c r="F1" s="1" t="inlineStr">
        <is>
          <t>Food cost %</t>
        </is>
      </c>
    </row>
    <row r="2">
      <c r="A2" t="inlineStr">
        <is>
          <t>Seared Salmon</t>
        </is>
      </c>
      <c r="B2">
        <f>SUMIF(Lines!$A$2:$A$40,A2,Lines!$G$2:$G$40)</f>
        <v/>
      </c>
      <c r="C2" s="2" t="n">
        <v>28.5</v>
      </c>
      <c r="D2">
        <f>C2-B2</f>
        <v/>
      </c>
      <c r="E2">
        <f>ROUND(D2/C2,4)</f>
        <v/>
      </c>
      <c r="F2">
        <f>ROUND(B2/C2,4)</f>
        <v/>
      </c>
    </row>
    <row r="3">
      <c r="A3" t="inlineStr">
        <is>
          <t>Smash Burger</t>
        </is>
      </c>
      <c r="B3">
        <f>SUMIF(Lines!$A$2:$A$40,A3,Lines!$G$2:$G$40)</f>
        <v/>
      </c>
      <c r="C3" s="2" t="n">
        <v>15</v>
      </c>
      <c r="D3">
        <f>C3-B3</f>
        <v/>
      </c>
      <c r="E3">
        <f>ROUND(D3/C3,4)</f>
        <v/>
      </c>
      <c r="F3">
        <f>ROUND(B3/C3,4)</f>
        <v/>
      </c>
    </row>
    <row r="4">
      <c r="A4" t="inlineStr">
        <is>
          <t>Mushroom Risotto</t>
        </is>
      </c>
      <c r="B4">
        <f>SUMIF(Lines!$A$2:$A$40,A4,Lines!$G$2:$G$40)</f>
        <v/>
      </c>
      <c r="C4" s="2" t="n">
        <v>18</v>
      </c>
      <c r="D4">
        <f>C4-B4</f>
        <v/>
      </c>
      <c r="E4">
        <f>ROUND(D4/C4,4)</f>
        <v/>
      </c>
      <c r="F4">
        <f>ROUND(B4/C4,4)</f>
        <v/>
      </c>
    </row>
    <row r="5">
      <c r="A5" t="inlineStr">
        <is>
          <t>Chicken Linguine</t>
        </is>
      </c>
      <c r="B5">
        <f>SUMIF(Lines!$A$2:$A$40,A5,Lines!$G$2:$G$40)</f>
        <v/>
      </c>
      <c r="C5" s="2" t="n">
        <v>21.5</v>
      </c>
      <c r="D5">
        <f>C5-B5</f>
        <v/>
      </c>
      <c r="E5">
        <f>ROUND(D5/C5,4)</f>
        <v/>
      </c>
      <c r="F5">
        <f>ROUND(B5/C5,4)</f>
        <v/>
      </c>
    </row>
    <row r="6">
      <c r="A6" t="inlineStr">
        <is>
          <t>Margherita Flatbread</t>
        </is>
      </c>
      <c r="B6">
        <f>SUMIF(Lines!$A$2:$A$40,A6,Lines!$G$2:$G$40)</f>
        <v/>
      </c>
      <c r="C6" s="2" t="n">
        <v>15</v>
      </c>
      <c r="D6">
        <f>C6-B6</f>
        <v/>
      </c>
      <c r="E6">
        <f>ROUND(D6/C6,4)</f>
        <v/>
      </c>
      <c r="F6">
        <f>ROUND(B6/C6,4)</f>
        <v/>
      </c>
    </row>
    <row r="7">
      <c r="A7" t="inlineStr">
        <is>
          <t>Crispy Chicken Sandwich</t>
        </is>
      </c>
      <c r="B7">
        <f>SUMIF(Lines!$A$2:$A$40,A7,Lines!$G$2:$G$40)</f>
        <v/>
      </c>
      <c r="C7" s="2" t="n">
        <v>15</v>
      </c>
      <c r="D7">
        <f>C7-B7</f>
        <v/>
      </c>
      <c r="E7">
        <f>ROUND(D7/C7,4)</f>
        <v/>
      </c>
      <c r="F7">
        <f>ROUND(B7/C7,4)</f>
        <v/>
      </c>
    </row>
    <row r="8">
      <c r="A8" t="inlineStr">
        <is>
          <t>Caesar Salad</t>
        </is>
      </c>
      <c r="B8">
        <f>SUMIF(Lines!$A$2:$A$40,A8,Lines!$G$2:$G$40)</f>
        <v/>
      </c>
      <c r="C8" s="2" t="n">
        <v>13</v>
      </c>
      <c r="D8">
        <f>C8-B8</f>
        <v/>
      </c>
      <c r="E8">
        <f>ROUND(D8/C8,4)</f>
        <v/>
      </c>
      <c r="F8">
        <f>ROUND(B8/C8,4)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Dish</t>
        </is>
      </c>
      <c r="B1" s="1" t="inlineStr">
        <is>
          <t>Ingredient</t>
        </is>
      </c>
      <c r="C1" s="1" t="inlineStr">
        <is>
          <t>Qty on card</t>
        </is>
      </c>
      <c r="D1" s="1" t="inlineStr">
        <is>
          <t>Unit</t>
        </is>
      </c>
      <c r="E1" s="1" t="inlineStr">
        <is>
          <t>Qty (g/ml/each)</t>
        </is>
      </c>
      <c r="F1" s="1" t="inlineStr">
        <is>
          <t>Usable cost per unit</t>
        </is>
      </c>
      <c r="G1" s="1" t="inlineStr">
        <is>
          <t>Line cost</t>
        </is>
      </c>
    </row>
    <row r="2">
      <c r="A2" t="inlineStr">
        <is>
          <t>Seared Salmon</t>
        </is>
      </c>
      <c r="B2" t="inlineStr">
        <is>
          <t>Salmon side</t>
        </is>
      </c>
      <c r="C2" t="n">
        <v>205</v>
      </c>
      <c r="D2" t="inlineStr">
        <is>
          <t>g</t>
        </is>
      </c>
      <c r="E2">
        <f>IF(D2="kg",C2*1000,IF(D2="L",C2*1000,C2))</f>
        <v/>
      </c>
      <c r="F2">
        <f>VLOOKUP(B2,Prices!$A$2:$H$26,8,FALSE)</f>
        <v/>
      </c>
      <c r="G2">
        <f>E2*F2</f>
        <v/>
      </c>
    </row>
    <row r="3">
      <c r="A3" t="inlineStr">
        <is>
          <t>Seared Salmon</t>
        </is>
      </c>
      <c r="B3" t="inlineStr">
        <is>
          <t>Russet potatoes</t>
        </is>
      </c>
      <c r="C3" t="n">
        <v>0.2</v>
      </c>
      <c r="D3" t="inlineStr">
        <is>
          <t>kg</t>
        </is>
      </c>
      <c r="E3">
        <f>IF(D3="kg",C3*1000,IF(D3="L",C3*1000,C3))</f>
        <v/>
      </c>
      <c r="F3">
        <f>VLOOKUP(B3,Prices!$A$2:$H$26,8,FALSE)</f>
        <v/>
      </c>
      <c r="G3">
        <f>E3*F3</f>
        <v/>
      </c>
    </row>
    <row r="4">
      <c r="A4" t="inlineStr">
        <is>
          <t>Seared Salmon</t>
        </is>
      </c>
      <c r="B4" t="inlineStr">
        <is>
          <t>Butter</t>
        </is>
      </c>
      <c r="C4" t="n">
        <v>20</v>
      </c>
      <c r="D4" t="inlineStr">
        <is>
          <t>g</t>
        </is>
      </c>
      <c r="E4">
        <f>IF(D4="kg",C4*1000,IF(D4="L",C4*1000,C4))</f>
        <v/>
      </c>
      <c r="F4">
        <f>VLOOKUP(B4,Prices!$A$2:$H$26,8,FALSE)</f>
        <v/>
      </c>
      <c r="G4">
        <f>E4*F4</f>
        <v/>
      </c>
    </row>
    <row r="5">
      <c r="A5" t="inlineStr">
        <is>
          <t>Seared Salmon</t>
        </is>
      </c>
      <c r="B5" t="inlineStr">
        <is>
          <t>Lemon</t>
        </is>
      </c>
      <c r="C5" t="n">
        <v>0.5</v>
      </c>
      <c r="D5" t="inlineStr">
        <is>
          <t>each</t>
        </is>
      </c>
      <c r="E5">
        <f>IF(D5="kg",C5*1000,IF(D5="L",C5*1000,C5))</f>
        <v/>
      </c>
      <c r="F5">
        <f>VLOOKUP(B5,Prices!$A$2:$H$26,8,FALSE)</f>
        <v/>
      </c>
      <c r="G5">
        <f>E5*F5</f>
        <v/>
      </c>
    </row>
    <row r="6">
      <c r="A6" t="inlineStr">
        <is>
          <t>Seared Salmon</t>
        </is>
      </c>
      <c r="B6" t="inlineStr">
        <is>
          <t>Parsley</t>
        </is>
      </c>
      <c r="C6" t="n">
        <v>5</v>
      </c>
      <c r="D6" t="inlineStr">
        <is>
          <t>g</t>
        </is>
      </c>
      <c r="E6">
        <f>IF(D6="kg",C6*1000,IF(D6="L",C6*1000,C6))</f>
        <v/>
      </c>
      <c r="F6">
        <f>VLOOKUP(B6,Prices!$A$2:$H$26,8,FALSE)</f>
        <v/>
      </c>
      <c r="G6">
        <f>E6*F6</f>
        <v/>
      </c>
    </row>
    <row r="7">
      <c r="A7" t="inlineStr">
        <is>
          <t>Smash Burger</t>
        </is>
      </c>
      <c r="B7" t="inlineStr">
        <is>
          <t>Ground beef</t>
        </is>
      </c>
      <c r="C7" t="n">
        <v>185</v>
      </c>
      <c r="D7" t="inlineStr">
        <is>
          <t>g</t>
        </is>
      </c>
      <c r="E7">
        <f>IF(D7="kg",C7*1000,IF(D7="L",C7*1000,C7))</f>
        <v/>
      </c>
      <c r="F7">
        <f>VLOOKUP(B7,Prices!$A$2:$H$26,8,FALSE)</f>
        <v/>
      </c>
      <c r="G7">
        <f>E7*F7</f>
        <v/>
      </c>
    </row>
    <row r="8">
      <c r="A8" t="inlineStr">
        <is>
          <t>Smash Burger</t>
        </is>
      </c>
      <c r="B8" t="inlineStr">
        <is>
          <t>Brioche bun</t>
        </is>
      </c>
      <c r="C8" t="n">
        <v>1</v>
      </c>
      <c r="D8" t="inlineStr">
        <is>
          <t>each</t>
        </is>
      </c>
      <c r="E8">
        <f>IF(D8="kg",C8*1000,IF(D8="L",C8*1000,C8))</f>
        <v/>
      </c>
      <c r="F8">
        <f>VLOOKUP(B8,Prices!$A$2:$H$26,8,FALSE)</f>
        <v/>
      </c>
      <c r="G8">
        <f>E8*F8</f>
        <v/>
      </c>
    </row>
    <row r="9">
      <c r="A9" t="inlineStr">
        <is>
          <t>Smash Burger</t>
        </is>
      </c>
      <c r="B9" t="inlineStr">
        <is>
          <t>Cheddar slices</t>
        </is>
      </c>
      <c r="C9" t="n">
        <v>40</v>
      </c>
      <c r="D9" t="inlineStr">
        <is>
          <t>g</t>
        </is>
      </c>
      <c r="E9">
        <f>IF(D9="kg",C9*1000,IF(D9="L",C9*1000,C9))</f>
        <v/>
      </c>
      <c r="F9">
        <f>VLOOKUP(B9,Prices!$A$2:$H$26,8,FALSE)</f>
        <v/>
      </c>
      <c r="G9">
        <f>E9*F9</f>
        <v/>
      </c>
    </row>
    <row r="10">
      <c r="A10" t="inlineStr">
        <is>
          <t>Smash Burger</t>
        </is>
      </c>
      <c r="B10" t="inlineStr">
        <is>
          <t>Yellow onion</t>
        </is>
      </c>
      <c r="C10" t="n">
        <v>30</v>
      </c>
      <c r="D10" t="inlineStr">
        <is>
          <t>g</t>
        </is>
      </c>
      <c r="E10">
        <f>IF(D10="kg",C10*1000,IF(D10="L",C10*1000,C10))</f>
        <v/>
      </c>
      <c r="F10">
        <f>VLOOKUP(B10,Prices!$A$2:$H$26,8,FALSE)</f>
        <v/>
      </c>
      <c r="G10">
        <f>E10*F10</f>
        <v/>
      </c>
    </row>
    <row r="11">
      <c r="A11" t="inlineStr">
        <is>
          <t>Smash Burger</t>
        </is>
      </c>
      <c r="B11" t="inlineStr">
        <is>
          <t>Russet potatoes</t>
        </is>
      </c>
      <c r="C11" t="n">
        <v>245</v>
      </c>
      <c r="D11" t="inlineStr">
        <is>
          <t>g</t>
        </is>
      </c>
      <c r="E11">
        <f>IF(D11="kg",C11*1000,IF(D11="L",C11*1000,C11))</f>
        <v/>
      </c>
      <c r="F11">
        <f>VLOOKUP(B11,Prices!$A$2:$H$26,8,FALSE)</f>
        <v/>
      </c>
      <c r="G11">
        <f>E11*F11</f>
        <v/>
      </c>
    </row>
    <row r="12">
      <c r="A12" t="inlineStr">
        <is>
          <t>Smash Burger</t>
        </is>
      </c>
      <c r="B12" t="inlineStr">
        <is>
          <t>Canola oil</t>
        </is>
      </c>
      <c r="C12" t="n">
        <v>40</v>
      </c>
      <c r="D12" t="inlineStr">
        <is>
          <t>ml</t>
        </is>
      </c>
      <c r="E12">
        <f>IF(D12="kg",C12*1000,IF(D12="L",C12*1000,C12))</f>
        <v/>
      </c>
      <c r="F12">
        <f>VLOOKUP(B12,Prices!$A$2:$H$26,8,FALSE)</f>
        <v/>
      </c>
      <c r="G12">
        <f>E12*F12</f>
        <v/>
      </c>
    </row>
    <row r="13">
      <c r="A13" t="inlineStr">
        <is>
          <t>Mushroom Risotto</t>
        </is>
      </c>
      <c r="B13" t="inlineStr">
        <is>
          <t>Arborio rice</t>
        </is>
      </c>
      <c r="C13" t="n">
        <v>90</v>
      </c>
      <c r="D13" t="inlineStr">
        <is>
          <t>g</t>
        </is>
      </c>
      <c r="E13">
        <f>IF(D13="kg",C13*1000,IF(D13="L",C13*1000,C13))</f>
        <v/>
      </c>
      <c r="F13">
        <f>VLOOKUP(B13,Prices!$A$2:$H$26,8,FALSE)</f>
        <v/>
      </c>
      <c r="G13">
        <f>E13*F13</f>
        <v/>
      </c>
    </row>
    <row r="14">
      <c r="A14" t="inlineStr">
        <is>
          <t>Mushroom Risotto</t>
        </is>
      </c>
      <c r="B14" t="inlineStr">
        <is>
          <t>Cremini mushrooms</t>
        </is>
      </c>
      <c r="C14" t="n">
        <v>140</v>
      </c>
      <c r="D14" t="inlineStr">
        <is>
          <t>g</t>
        </is>
      </c>
      <c r="E14">
        <f>IF(D14="kg",C14*1000,IF(D14="L",C14*1000,C14))</f>
        <v/>
      </c>
      <c r="F14">
        <f>VLOOKUP(B14,Prices!$A$2:$H$26,8,FALSE)</f>
        <v/>
      </c>
      <c r="G14">
        <f>E14*F14</f>
        <v/>
      </c>
    </row>
    <row r="15">
      <c r="A15" t="inlineStr">
        <is>
          <t>Mushroom Risotto</t>
        </is>
      </c>
      <c r="B15" t="inlineStr">
        <is>
          <t>Parmesan</t>
        </is>
      </c>
      <c r="C15" t="n">
        <v>40</v>
      </c>
      <c r="D15" t="inlineStr">
        <is>
          <t>g</t>
        </is>
      </c>
      <c r="E15">
        <f>IF(D15="kg",C15*1000,IF(D15="L",C15*1000,C15))</f>
        <v/>
      </c>
      <c r="F15">
        <f>VLOOKUP(B15,Prices!$A$2:$H$26,8,FALSE)</f>
        <v/>
      </c>
      <c r="G15">
        <f>E15*F15</f>
        <v/>
      </c>
    </row>
    <row r="16">
      <c r="A16" t="inlineStr">
        <is>
          <t>Mushroom Risotto</t>
        </is>
      </c>
      <c r="B16" t="inlineStr">
        <is>
          <t>Butter</t>
        </is>
      </c>
      <c r="C16" t="n">
        <v>30</v>
      </c>
      <c r="D16" t="inlineStr">
        <is>
          <t>g</t>
        </is>
      </c>
      <c r="E16">
        <f>IF(D16="kg",C16*1000,IF(D16="L",C16*1000,C16))</f>
        <v/>
      </c>
      <c r="F16">
        <f>VLOOKUP(B16,Prices!$A$2:$H$26,8,FALSE)</f>
        <v/>
      </c>
      <c r="G16">
        <f>E16*F16</f>
        <v/>
      </c>
    </row>
    <row r="17">
      <c r="A17" t="inlineStr">
        <is>
          <t>Mushroom Risotto</t>
        </is>
      </c>
      <c r="B17" t="inlineStr">
        <is>
          <t>Chicken stock</t>
        </is>
      </c>
      <c r="C17" t="n">
        <v>0.44</v>
      </c>
      <c r="D17" t="inlineStr">
        <is>
          <t>L</t>
        </is>
      </c>
      <c r="E17">
        <f>IF(D17="kg",C17*1000,IF(D17="L",C17*1000,C17))</f>
        <v/>
      </c>
      <c r="F17">
        <f>VLOOKUP(B17,Prices!$A$2:$H$26,8,FALSE)</f>
        <v/>
      </c>
      <c r="G17">
        <f>E17*F17</f>
        <v/>
      </c>
    </row>
    <row r="18">
      <c r="A18" t="inlineStr">
        <is>
          <t>Mushroom Risotto</t>
        </is>
      </c>
      <c r="B18" t="inlineStr">
        <is>
          <t>Yellow onion</t>
        </is>
      </c>
      <c r="C18" t="n">
        <v>50</v>
      </c>
      <c r="D18" t="inlineStr">
        <is>
          <t>g</t>
        </is>
      </c>
      <c r="E18">
        <f>IF(D18="kg",C18*1000,IF(D18="L",C18*1000,C18))</f>
        <v/>
      </c>
      <c r="F18">
        <f>VLOOKUP(B18,Prices!$A$2:$H$26,8,FALSE)</f>
        <v/>
      </c>
      <c r="G18">
        <f>E18*F18</f>
        <v/>
      </c>
    </row>
    <row r="19">
      <c r="A19" t="inlineStr">
        <is>
          <t>Mushroom Risotto</t>
        </is>
      </c>
      <c r="B19" t="inlineStr">
        <is>
          <t>White wine</t>
        </is>
      </c>
      <c r="C19" t="n">
        <v>65</v>
      </c>
      <c r="D19" t="inlineStr">
        <is>
          <t>ml</t>
        </is>
      </c>
      <c r="E19">
        <f>IF(D19="kg",C19*1000,IF(D19="L",C19*1000,C19))</f>
        <v/>
      </c>
      <c r="F19">
        <f>VLOOKUP(B19,Prices!$A$2:$H$26,8,FALSE)</f>
        <v/>
      </c>
      <c r="G19">
        <f>E19*F19</f>
        <v/>
      </c>
    </row>
    <row r="20">
      <c r="A20" t="inlineStr">
        <is>
          <t>Chicken Linguine</t>
        </is>
      </c>
      <c r="B20" t="inlineStr">
        <is>
          <t>Linguine</t>
        </is>
      </c>
      <c r="C20" t="n">
        <v>130</v>
      </c>
      <c r="D20" t="inlineStr">
        <is>
          <t>g</t>
        </is>
      </c>
      <c r="E20">
        <f>IF(D20="kg",C20*1000,IF(D20="L",C20*1000,C20))</f>
        <v/>
      </c>
      <c r="F20">
        <f>VLOOKUP(B20,Prices!$A$2:$H$26,8,FALSE)</f>
        <v/>
      </c>
      <c r="G20">
        <f>E20*F20</f>
        <v/>
      </c>
    </row>
    <row r="21">
      <c r="A21" t="inlineStr">
        <is>
          <t>Chicken Linguine</t>
        </is>
      </c>
      <c r="B21" t="inlineStr">
        <is>
          <t>Chicken thighs</t>
        </is>
      </c>
      <c r="C21" t="n">
        <v>175</v>
      </c>
      <c r="D21" t="inlineStr">
        <is>
          <t>g</t>
        </is>
      </c>
      <c r="E21">
        <f>IF(D21="kg",C21*1000,IF(D21="L",C21*1000,C21))</f>
        <v/>
      </c>
      <c r="F21">
        <f>VLOOKUP(B21,Prices!$A$2:$H$26,8,FALSE)</f>
        <v/>
      </c>
      <c r="G21">
        <f>E21*F21</f>
        <v/>
      </c>
    </row>
    <row r="22">
      <c r="A22" t="inlineStr">
        <is>
          <t>Chicken Linguine</t>
        </is>
      </c>
      <c r="B22" t="inlineStr">
        <is>
          <t>Heavy cream</t>
        </is>
      </c>
      <c r="C22" t="n">
        <v>100</v>
      </c>
      <c r="D22" t="inlineStr">
        <is>
          <t>ml</t>
        </is>
      </c>
      <c r="E22">
        <f>IF(D22="kg",C22*1000,IF(D22="L",C22*1000,C22))</f>
        <v/>
      </c>
      <c r="F22">
        <f>VLOOKUP(B22,Prices!$A$2:$H$26,8,FALSE)</f>
        <v/>
      </c>
      <c r="G22">
        <f>E22*F22</f>
        <v/>
      </c>
    </row>
    <row r="23">
      <c r="A23" t="inlineStr">
        <is>
          <t>Chicken Linguine</t>
        </is>
      </c>
      <c r="B23" t="inlineStr">
        <is>
          <t>Garlic</t>
        </is>
      </c>
      <c r="C23" t="n">
        <v>10</v>
      </c>
      <c r="D23" t="inlineStr">
        <is>
          <t>g</t>
        </is>
      </c>
      <c r="E23">
        <f>IF(D23="kg",C23*1000,IF(D23="L",C23*1000,C23))</f>
        <v/>
      </c>
      <c r="F23">
        <f>VLOOKUP(B23,Prices!$A$2:$H$26,8,FALSE)</f>
        <v/>
      </c>
      <c r="G23">
        <f>E23*F23</f>
        <v/>
      </c>
    </row>
    <row r="24">
      <c r="A24" t="inlineStr">
        <is>
          <t>Chicken Linguine</t>
        </is>
      </c>
      <c r="B24" t="inlineStr">
        <is>
          <t>Parmesan</t>
        </is>
      </c>
      <c r="C24" t="n">
        <v>15</v>
      </c>
      <c r="D24" t="inlineStr">
        <is>
          <t>g</t>
        </is>
      </c>
      <c r="E24">
        <f>IF(D24="kg",C24*1000,IF(D24="L",C24*1000,C24))</f>
        <v/>
      </c>
      <c r="F24">
        <f>VLOOKUP(B24,Prices!$A$2:$H$26,8,FALSE)</f>
        <v/>
      </c>
      <c r="G24">
        <f>E24*F24</f>
        <v/>
      </c>
    </row>
    <row r="25">
      <c r="A25" t="inlineStr">
        <is>
          <t>Chicken Linguine</t>
        </is>
      </c>
      <c r="B25" t="inlineStr">
        <is>
          <t>Parsley</t>
        </is>
      </c>
      <c r="C25" t="n">
        <v>5</v>
      </c>
      <c r="D25" t="inlineStr">
        <is>
          <t>g</t>
        </is>
      </c>
      <c r="E25">
        <f>IF(D25="kg",C25*1000,IF(D25="L",C25*1000,C25))</f>
        <v/>
      </c>
      <c r="F25">
        <f>VLOOKUP(B25,Prices!$A$2:$H$26,8,FALSE)</f>
        <v/>
      </c>
      <c r="G25">
        <f>E25*F25</f>
        <v/>
      </c>
    </row>
    <row r="26">
      <c r="A26" t="inlineStr">
        <is>
          <t>Margherita Flatbread</t>
        </is>
      </c>
      <c r="B26" t="inlineStr">
        <is>
          <t>Flour</t>
        </is>
      </c>
      <c r="C26" t="n">
        <v>160</v>
      </c>
      <c r="D26" t="inlineStr">
        <is>
          <t>g</t>
        </is>
      </c>
      <c r="E26">
        <f>IF(D26="kg",C26*1000,IF(D26="L",C26*1000,C26))</f>
        <v/>
      </c>
      <c r="F26">
        <f>VLOOKUP(B26,Prices!$A$2:$H$26,8,FALSE)</f>
        <v/>
      </c>
      <c r="G26">
        <f>E26*F26</f>
        <v/>
      </c>
    </row>
    <row r="27">
      <c r="A27" t="inlineStr">
        <is>
          <t>Margherita Flatbread</t>
        </is>
      </c>
      <c r="B27" t="inlineStr">
        <is>
          <t>San Marzano tomatoes</t>
        </is>
      </c>
      <c r="C27" t="n">
        <v>95</v>
      </c>
      <c r="D27" t="inlineStr">
        <is>
          <t>g</t>
        </is>
      </c>
      <c r="E27">
        <f>IF(D27="kg",C27*1000,IF(D27="L",C27*1000,C27))</f>
        <v/>
      </c>
      <c r="F27">
        <f>VLOOKUP(B27,Prices!$A$2:$H$26,8,FALSE)</f>
        <v/>
      </c>
      <c r="G27">
        <f>E27*F27</f>
        <v/>
      </c>
    </row>
    <row r="28">
      <c r="A28" t="inlineStr">
        <is>
          <t>Margherita Flatbread</t>
        </is>
      </c>
      <c r="B28" t="inlineStr">
        <is>
          <t>Mozzarella</t>
        </is>
      </c>
      <c r="C28" t="n">
        <v>95</v>
      </c>
      <c r="D28" t="inlineStr">
        <is>
          <t>g</t>
        </is>
      </c>
      <c r="E28">
        <f>IF(D28="kg",C28*1000,IF(D28="L",C28*1000,C28))</f>
        <v/>
      </c>
      <c r="F28">
        <f>VLOOKUP(B28,Prices!$A$2:$H$26,8,FALSE)</f>
        <v/>
      </c>
      <c r="G28">
        <f>E28*F28</f>
        <v/>
      </c>
    </row>
    <row r="29">
      <c r="A29" t="inlineStr">
        <is>
          <t>Margherita Flatbread</t>
        </is>
      </c>
      <c r="B29" t="inlineStr">
        <is>
          <t>Olive oil</t>
        </is>
      </c>
      <c r="C29" t="n">
        <v>15</v>
      </c>
      <c r="D29" t="inlineStr">
        <is>
          <t>ml</t>
        </is>
      </c>
      <c r="E29">
        <f>IF(D29="kg",C29*1000,IF(D29="L",C29*1000,C29))</f>
        <v/>
      </c>
      <c r="F29">
        <f>VLOOKUP(B29,Prices!$A$2:$H$26,8,FALSE)</f>
        <v/>
      </c>
      <c r="G29">
        <f>E29*F29</f>
        <v/>
      </c>
    </row>
    <row r="30">
      <c r="A30" t="inlineStr">
        <is>
          <t>Margherita Flatbread</t>
        </is>
      </c>
      <c r="B30" t="inlineStr">
        <is>
          <t>Basil</t>
        </is>
      </c>
      <c r="C30" t="n">
        <v>5</v>
      </c>
      <c r="D30" t="inlineStr">
        <is>
          <t>g</t>
        </is>
      </c>
      <c r="E30">
        <f>IF(D30="kg",C30*1000,IF(D30="L",C30*1000,C30))</f>
        <v/>
      </c>
      <c r="F30">
        <f>VLOOKUP(B30,Prices!$A$2:$H$26,8,FALSE)</f>
        <v/>
      </c>
      <c r="G30">
        <f>E30*F30</f>
        <v/>
      </c>
    </row>
    <row r="31">
      <c r="A31" t="inlineStr">
        <is>
          <t>Crispy Chicken Sandwich</t>
        </is>
      </c>
      <c r="B31" t="inlineStr">
        <is>
          <t>Chicken thighs</t>
        </is>
      </c>
      <c r="C31" t="n">
        <v>160</v>
      </c>
      <c r="D31" t="inlineStr">
        <is>
          <t>g</t>
        </is>
      </c>
      <c r="E31">
        <f>IF(D31="kg",C31*1000,IF(D31="L",C31*1000,C31))</f>
        <v/>
      </c>
      <c r="F31">
        <f>VLOOKUP(B31,Prices!$A$2:$H$26,8,FALSE)</f>
        <v/>
      </c>
      <c r="G31">
        <f>E31*F31</f>
        <v/>
      </c>
    </row>
    <row r="32">
      <c r="A32" t="inlineStr">
        <is>
          <t>Crispy Chicken Sandwich</t>
        </is>
      </c>
      <c r="B32" t="inlineStr">
        <is>
          <t>Brioche bun</t>
        </is>
      </c>
      <c r="C32" t="n">
        <v>1</v>
      </c>
      <c r="D32" t="inlineStr">
        <is>
          <t>each</t>
        </is>
      </c>
      <c r="E32">
        <f>IF(D32="kg",C32*1000,IF(D32="L",C32*1000,C32))</f>
        <v/>
      </c>
      <c r="F32">
        <f>VLOOKUP(B32,Prices!$A$2:$H$26,8,FALSE)</f>
        <v/>
      </c>
      <c r="G32">
        <f>E32*F32</f>
        <v/>
      </c>
    </row>
    <row r="33">
      <c r="A33" t="inlineStr">
        <is>
          <t>Crispy Chicken Sandwich</t>
        </is>
      </c>
      <c r="B33" t="inlineStr">
        <is>
          <t>Flour</t>
        </is>
      </c>
      <c r="C33" t="n">
        <v>40</v>
      </c>
      <c r="D33" t="inlineStr">
        <is>
          <t>g</t>
        </is>
      </c>
      <c r="E33">
        <f>IF(D33="kg",C33*1000,IF(D33="L",C33*1000,C33))</f>
        <v/>
      </c>
      <c r="F33">
        <f>VLOOKUP(B33,Prices!$A$2:$H$26,8,FALSE)</f>
        <v/>
      </c>
      <c r="G33">
        <f>E33*F33</f>
        <v/>
      </c>
    </row>
    <row r="34">
      <c r="A34" t="inlineStr">
        <is>
          <t>Crispy Chicken Sandwich</t>
        </is>
      </c>
      <c r="B34" t="inlineStr">
        <is>
          <t>Canola oil</t>
        </is>
      </c>
      <c r="C34" t="n">
        <v>55</v>
      </c>
      <c r="D34" t="inlineStr">
        <is>
          <t>ml</t>
        </is>
      </c>
      <c r="E34">
        <f>IF(D34="kg",C34*1000,IF(D34="L",C34*1000,C34))</f>
        <v/>
      </c>
      <c r="F34">
        <f>VLOOKUP(B34,Prices!$A$2:$H$26,8,FALSE)</f>
        <v/>
      </c>
      <c r="G34">
        <f>E34*F34</f>
        <v/>
      </c>
    </row>
    <row r="35">
      <c r="A35" t="inlineStr">
        <is>
          <t>Crispy Chicken Sandwich</t>
        </is>
      </c>
      <c r="B35" t="inlineStr">
        <is>
          <t>Mixed greens</t>
        </is>
      </c>
      <c r="C35" t="n">
        <v>30</v>
      </c>
      <c r="D35" t="inlineStr">
        <is>
          <t>g</t>
        </is>
      </c>
      <c r="E35">
        <f>IF(D35="kg",C35*1000,IF(D35="L",C35*1000,C35))</f>
        <v/>
      </c>
      <c r="F35">
        <f>VLOOKUP(B35,Prices!$A$2:$H$26,8,FALSE)</f>
        <v/>
      </c>
      <c r="G35">
        <f>E35*F35</f>
        <v/>
      </c>
    </row>
    <row r="36">
      <c r="A36" t="inlineStr">
        <is>
          <t>Caesar Salad</t>
        </is>
      </c>
      <c r="B36" t="inlineStr">
        <is>
          <t>Mixed greens</t>
        </is>
      </c>
      <c r="C36" t="n">
        <v>115</v>
      </c>
      <c r="D36" t="inlineStr">
        <is>
          <t>g</t>
        </is>
      </c>
      <c r="E36">
        <f>IF(D36="kg",C36*1000,IF(D36="L",C36*1000,C36))</f>
        <v/>
      </c>
      <c r="F36">
        <f>VLOOKUP(B36,Prices!$A$2:$H$26,8,FALSE)</f>
        <v/>
      </c>
      <c r="G36">
        <f>E36*F36</f>
        <v/>
      </c>
    </row>
    <row r="37">
      <c r="A37" t="inlineStr">
        <is>
          <t>Caesar Salad</t>
        </is>
      </c>
      <c r="B37" t="inlineStr">
        <is>
          <t>Parmesan</t>
        </is>
      </c>
      <c r="C37" t="n">
        <v>20</v>
      </c>
      <c r="D37" t="inlineStr">
        <is>
          <t>g</t>
        </is>
      </c>
      <c r="E37">
        <f>IF(D37="kg",C37*1000,IF(D37="L",C37*1000,C37))</f>
        <v/>
      </c>
      <c r="F37">
        <f>VLOOKUP(B37,Prices!$A$2:$H$26,8,FALSE)</f>
        <v/>
      </c>
      <c r="G37">
        <f>E37*F37</f>
        <v/>
      </c>
    </row>
    <row r="38">
      <c r="A38" t="inlineStr">
        <is>
          <t>Caesar Salad</t>
        </is>
      </c>
      <c r="B38" t="inlineStr">
        <is>
          <t>Lemon</t>
        </is>
      </c>
      <c r="C38" t="n">
        <v>0.5</v>
      </c>
      <c r="D38" t="inlineStr">
        <is>
          <t>each</t>
        </is>
      </c>
      <c r="E38">
        <f>IF(D38="kg",C38*1000,IF(D38="L",C38*1000,C38))</f>
        <v/>
      </c>
      <c r="F38">
        <f>VLOOKUP(B38,Prices!$A$2:$H$26,8,FALSE)</f>
        <v/>
      </c>
      <c r="G38">
        <f>E38*F38</f>
        <v/>
      </c>
    </row>
    <row r="39">
      <c r="A39" t="inlineStr">
        <is>
          <t>Caesar Salad</t>
        </is>
      </c>
      <c r="B39" t="inlineStr">
        <is>
          <t>Olive oil</t>
        </is>
      </c>
      <c r="C39" t="n">
        <v>20</v>
      </c>
      <c r="D39" t="inlineStr">
        <is>
          <t>ml</t>
        </is>
      </c>
      <c r="E39">
        <f>IF(D39="kg",C39*1000,IF(D39="L",C39*1000,C39))</f>
        <v/>
      </c>
      <c r="F39">
        <f>VLOOKUP(B39,Prices!$A$2:$H$26,8,FALSE)</f>
        <v/>
      </c>
      <c r="G39">
        <f>E39*F39</f>
        <v/>
      </c>
    </row>
    <row r="40">
      <c r="A40" t="inlineStr">
        <is>
          <t>Caesar Salad</t>
        </is>
      </c>
      <c r="B40" t="inlineStr">
        <is>
          <t>Garlic</t>
        </is>
      </c>
      <c r="C40" t="n">
        <v>5</v>
      </c>
      <c r="D40" t="inlineStr">
        <is>
          <t>g</t>
        </is>
      </c>
      <c r="E40">
        <f>IF(D40="kg",C40*1000,IF(D40="L",C40*1000,C40))</f>
        <v/>
      </c>
      <c r="F40">
        <f>VLOOKUP(B40,Prices!$A$2:$H$26,8,FALSE)</f>
        <v/>
      </c>
      <c r="G40">
        <f>E40*F40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Ingredient</t>
        </is>
      </c>
      <c r="B1" s="1" t="inlineStr">
        <is>
          <t>Harbor description</t>
        </is>
      </c>
      <c r="C1" s="1" t="inlineStr">
        <is>
          <t>Pack</t>
        </is>
      </c>
      <c r="D1" s="1" t="inlineStr">
        <is>
          <t>Pack size (g/ml/each)</t>
        </is>
      </c>
      <c r="E1" s="1" t="inlineStr">
        <is>
          <t>Unit</t>
        </is>
      </c>
      <c r="F1" s="1" t="inlineStr">
        <is>
          <t>Cost per unit</t>
        </is>
      </c>
      <c r="G1" s="1" t="inlineStr">
        <is>
          <t>Trim loss</t>
        </is>
      </c>
      <c r="H1" s="1" t="inlineStr">
        <is>
          <t>Usable cost per unit</t>
        </is>
      </c>
      <c r="I1" s="1" t="inlineStr">
        <is>
          <t>Pack price (Sept)</t>
        </is>
      </c>
    </row>
    <row r="2">
      <c r="A2" t="inlineStr">
        <is>
          <t>Salmon side</t>
        </is>
      </c>
      <c r="B2" t="inlineStr">
        <is>
          <t>Salmon side, skin-on, fresh</t>
        </is>
      </c>
      <c r="C2" t="inlineStr">
        <is>
          <t>5 KG</t>
        </is>
      </c>
      <c r="D2" t="n">
        <v>5000</v>
      </c>
      <c r="E2" t="inlineStr">
        <is>
          <t>g</t>
        </is>
      </c>
      <c r="F2">
        <f>I2/D2</f>
        <v/>
      </c>
      <c r="G2" t="n">
        <v>0.3</v>
      </c>
      <c r="H2">
        <f>F2/(1-G2)</f>
        <v/>
      </c>
      <c r="I2" t="n">
        <v>158.19</v>
      </c>
    </row>
    <row r="3">
      <c r="A3" t="inlineStr">
        <is>
          <t>Russet potatoes</t>
        </is>
      </c>
      <c r="B3" t="inlineStr">
        <is>
          <t>Russet potatoes</t>
        </is>
      </c>
      <c r="C3" t="inlineStr">
        <is>
          <t>20 KG SACK</t>
        </is>
      </c>
      <c r="D3" t="n">
        <v>20000</v>
      </c>
      <c r="E3" t="inlineStr">
        <is>
          <t>g</t>
        </is>
      </c>
      <c r="F3">
        <f>I3/D3</f>
        <v/>
      </c>
      <c r="G3" t="n">
        <v>0.15</v>
      </c>
      <c r="H3">
        <f>F3/(1-G3)</f>
        <v/>
      </c>
      <c r="I3" t="n">
        <v>30.51</v>
      </c>
    </row>
    <row r="4">
      <c r="A4" t="inlineStr">
        <is>
          <t>Butter</t>
        </is>
      </c>
      <c r="B4" t="inlineStr">
        <is>
          <t>Butter, unsalted</t>
        </is>
      </c>
      <c r="C4" t="inlineStr">
        <is>
          <t>2 KG</t>
        </is>
      </c>
      <c r="D4" t="n">
        <v>2000</v>
      </c>
      <c r="E4" t="inlineStr">
        <is>
          <t>g</t>
        </is>
      </c>
      <c r="F4">
        <f>I4/D4</f>
        <v/>
      </c>
      <c r="G4" t="n">
        <v>0</v>
      </c>
      <c r="H4">
        <f>F4/(1-G4)</f>
        <v/>
      </c>
      <c r="I4" t="n">
        <v>19.44</v>
      </c>
    </row>
    <row r="5">
      <c r="A5" t="inlineStr">
        <is>
          <t>Lemon</t>
        </is>
      </c>
      <c r="B5" t="inlineStr">
        <is>
          <t>Lemons</t>
        </is>
      </c>
      <c r="C5" t="inlineStr">
        <is>
          <t>EA</t>
        </is>
      </c>
      <c r="D5" t="n">
        <v>1</v>
      </c>
      <c r="E5" t="inlineStr">
        <is>
          <t>each</t>
        </is>
      </c>
      <c r="F5">
        <f>I5/D5</f>
        <v/>
      </c>
      <c r="G5" t="n">
        <v>0</v>
      </c>
      <c r="H5">
        <f>F5/(1-G5)</f>
        <v/>
      </c>
      <c r="I5" t="n">
        <v>0.58</v>
      </c>
    </row>
    <row r="6">
      <c r="A6" t="inlineStr">
        <is>
          <t>Parsley</t>
        </is>
      </c>
      <c r="B6" t="inlineStr">
        <is>
          <t>Flat-leaf parsley</t>
        </is>
      </c>
      <c r="C6" t="inlineStr">
        <is>
          <t>1 KG</t>
        </is>
      </c>
      <c r="D6" t="n">
        <v>1000</v>
      </c>
      <c r="E6" t="inlineStr">
        <is>
          <t>g</t>
        </is>
      </c>
      <c r="F6">
        <f>I6/D6</f>
        <v/>
      </c>
      <c r="G6" t="n">
        <v>0.35</v>
      </c>
      <c r="H6">
        <f>F6/(1-G6)</f>
        <v/>
      </c>
      <c r="I6" t="n">
        <v>12.14</v>
      </c>
    </row>
    <row r="7">
      <c r="A7" t="inlineStr">
        <is>
          <t>Ground beef</t>
        </is>
      </c>
      <c r="B7" t="inlineStr">
        <is>
          <t>Ground beef 80/20</t>
        </is>
      </c>
      <c r="C7" t="inlineStr">
        <is>
          <t>5 KG</t>
        </is>
      </c>
      <c r="D7" t="n">
        <v>5000</v>
      </c>
      <c r="E7" t="inlineStr">
        <is>
          <t>g</t>
        </is>
      </c>
      <c r="F7">
        <f>I7/D7</f>
        <v/>
      </c>
      <c r="G7" t="n">
        <v>0</v>
      </c>
      <c r="H7">
        <f>F7/(1-G7)</f>
        <v/>
      </c>
      <c r="I7" t="n">
        <v>62.73</v>
      </c>
    </row>
    <row r="8">
      <c r="A8" t="inlineStr">
        <is>
          <t>Brioche bun</t>
        </is>
      </c>
      <c r="B8" t="inlineStr">
        <is>
          <t>Brioche buns 4.5in</t>
        </is>
      </c>
      <c r="C8" t="inlineStr">
        <is>
          <t>CS/12</t>
        </is>
      </c>
      <c r="D8" t="n">
        <v>12</v>
      </c>
      <c r="E8" t="inlineStr">
        <is>
          <t>each</t>
        </is>
      </c>
      <c r="F8">
        <f>I8/D8</f>
        <v/>
      </c>
      <c r="G8" t="n">
        <v>0</v>
      </c>
      <c r="H8">
        <f>F8/(1-G8)</f>
        <v/>
      </c>
      <c r="I8" t="n">
        <v>9.75</v>
      </c>
    </row>
    <row r="9">
      <c r="A9" t="inlineStr">
        <is>
          <t>Cheddar slices</t>
        </is>
      </c>
      <c r="B9" t="inlineStr">
        <is>
          <t>Cheddar, sliced</t>
        </is>
      </c>
      <c r="C9" t="inlineStr">
        <is>
          <t>2.5 KG</t>
        </is>
      </c>
      <c r="D9" t="n">
        <v>2500</v>
      </c>
      <c r="E9" t="inlineStr">
        <is>
          <t>g</t>
        </is>
      </c>
      <c r="F9">
        <f>I9/D9</f>
        <v/>
      </c>
      <c r="G9" t="n">
        <v>0</v>
      </c>
      <c r="H9">
        <f>F9/(1-G9)</f>
        <v/>
      </c>
      <c r="I9" t="n">
        <v>30.45</v>
      </c>
    </row>
    <row r="10">
      <c r="A10" t="inlineStr">
        <is>
          <t>Yellow onion</t>
        </is>
      </c>
      <c r="B10" t="inlineStr">
        <is>
          <t>Yellow onions</t>
        </is>
      </c>
      <c r="C10" t="inlineStr">
        <is>
          <t>10 KG SACK</t>
        </is>
      </c>
      <c r="D10" t="n">
        <v>10000</v>
      </c>
      <c r="E10" t="inlineStr">
        <is>
          <t>g</t>
        </is>
      </c>
      <c r="F10">
        <f>I10/D10</f>
        <v/>
      </c>
      <c r="G10" t="n">
        <v>0.1</v>
      </c>
      <c r="H10">
        <f>F10/(1-G10)</f>
        <v/>
      </c>
      <c r="I10" t="n">
        <v>14.07</v>
      </c>
    </row>
    <row r="11">
      <c r="A11" t="inlineStr">
        <is>
          <t>Canola oil</t>
        </is>
      </c>
      <c r="B11" t="inlineStr">
        <is>
          <t>Canola oil</t>
        </is>
      </c>
      <c r="C11" t="inlineStr">
        <is>
          <t>15 L JUG</t>
        </is>
      </c>
      <c r="D11" t="n">
        <v>15000</v>
      </c>
      <c r="E11" t="inlineStr">
        <is>
          <t>ml</t>
        </is>
      </c>
      <c r="F11">
        <f>I11/D11</f>
        <v/>
      </c>
      <c r="G11" t="n">
        <v>0</v>
      </c>
      <c r="H11">
        <f>F11/(1-G11)</f>
        <v/>
      </c>
      <c r="I11" t="n">
        <v>40.36</v>
      </c>
    </row>
    <row r="12">
      <c r="A12" t="inlineStr">
        <is>
          <t>Arborio rice</t>
        </is>
      </c>
      <c r="B12" t="inlineStr">
        <is>
          <t>Arborio rice</t>
        </is>
      </c>
      <c r="C12" t="inlineStr">
        <is>
          <t>5 KG</t>
        </is>
      </c>
      <c r="D12" t="n">
        <v>5000</v>
      </c>
      <c r="E12" t="inlineStr">
        <is>
          <t>g</t>
        </is>
      </c>
      <c r="F12">
        <f>I12/D12</f>
        <v/>
      </c>
      <c r="G12" t="n">
        <v>0</v>
      </c>
      <c r="H12">
        <f>F12/(1-G12)</f>
        <v/>
      </c>
      <c r="I12" t="n">
        <v>30.4</v>
      </c>
    </row>
    <row r="13">
      <c r="A13" t="inlineStr">
        <is>
          <t>Cremini mushrooms</t>
        </is>
      </c>
      <c r="B13" t="inlineStr">
        <is>
          <t>Cremini mushrooms</t>
        </is>
      </c>
      <c r="C13" t="inlineStr">
        <is>
          <t>2.5 KG</t>
        </is>
      </c>
      <c r="D13" t="n">
        <v>2500</v>
      </c>
      <c r="E13" t="inlineStr">
        <is>
          <t>g</t>
        </is>
      </c>
      <c r="F13">
        <f>I13/D13</f>
        <v/>
      </c>
      <c r="G13" t="n">
        <v>0</v>
      </c>
      <c r="H13">
        <f>F13/(1-G13)</f>
        <v/>
      </c>
      <c r="I13" t="n">
        <v>24.19</v>
      </c>
    </row>
    <row r="14">
      <c r="A14" t="inlineStr">
        <is>
          <t>Parmesan</t>
        </is>
      </c>
      <c r="B14" t="inlineStr">
        <is>
          <t>Parmigiano Reggiano</t>
        </is>
      </c>
      <c r="C14" t="inlineStr">
        <is>
          <t>1 KG</t>
        </is>
      </c>
      <c r="D14" t="n">
        <v>1000</v>
      </c>
      <c r="E14" t="inlineStr">
        <is>
          <t>g</t>
        </is>
      </c>
      <c r="F14">
        <f>I14/D14</f>
        <v/>
      </c>
      <c r="G14" t="n">
        <v>0</v>
      </c>
      <c r="H14">
        <f>F14/(1-G14)</f>
        <v/>
      </c>
      <c r="I14" t="n">
        <v>32.62</v>
      </c>
    </row>
    <row r="15">
      <c r="A15" t="inlineStr">
        <is>
          <t>Chicken stock</t>
        </is>
      </c>
      <c r="B15" t="inlineStr">
        <is>
          <t>Chicken stock, low sodium</t>
        </is>
      </c>
      <c r="C15" t="inlineStr">
        <is>
          <t>4 L</t>
        </is>
      </c>
      <c r="D15" t="n">
        <v>4000</v>
      </c>
      <c r="E15" t="inlineStr">
        <is>
          <t>ml</t>
        </is>
      </c>
      <c r="F15">
        <f>I15/D15</f>
        <v/>
      </c>
      <c r="G15" t="n">
        <v>0</v>
      </c>
      <c r="H15">
        <f>F15/(1-G15)</f>
        <v/>
      </c>
      <c r="I15" t="n">
        <v>14.21</v>
      </c>
    </row>
    <row r="16">
      <c r="A16" t="inlineStr">
        <is>
          <t>White wine</t>
        </is>
      </c>
      <c r="B16" t="inlineStr">
        <is>
          <t>White wine, cooking</t>
        </is>
      </c>
      <c r="C16" t="inlineStr">
        <is>
          <t>4 L</t>
        </is>
      </c>
      <c r="D16" t="n">
        <v>4000</v>
      </c>
      <c r="E16" t="inlineStr">
        <is>
          <t>ml</t>
        </is>
      </c>
      <c r="F16">
        <f>I16/D16</f>
        <v/>
      </c>
      <c r="G16" t="n">
        <v>0</v>
      </c>
      <c r="H16">
        <f>F16/(1-G16)</f>
        <v/>
      </c>
      <c r="I16" t="n">
        <v>24.47</v>
      </c>
    </row>
    <row r="17">
      <c r="A17" t="inlineStr">
        <is>
          <t>Linguine</t>
        </is>
      </c>
      <c r="B17" t="inlineStr">
        <is>
          <t>Linguine, dried</t>
        </is>
      </c>
      <c r="C17" t="inlineStr">
        <is>
          <t>5 KG</t>
        </is>
      </c>
      <c r="D17" t="n">
        <v>5000</v>
      </c>
      <c r="E17" t="inlineStr">
        <is>
          <t>g</t>
        </is>
      </c>
      <c r="F17">
        <f>I17/D17</f>
        <v/>
      </c>
      <c r="G17" t="n">
        <v>0</v>
      </c>
      <c r="H17">
        <f>F17/(1-G17)</f>
        <v/>
      </c>
      <c r="I17" t="n">
        <v>18.17</v>
      </c>
    </row>
    <row r="18">
      <c r="A18" t="inlineStr">
        <is>
          <t>Chicken thighs</t>
        </is>
      </c>
      <c r="B18" t="inlineStr">
        <is>
          <t>Chicken thighs, boneless</t>
        </is>
      </c>
      <c r="C18" t="inlineStr">
        <is>
          <t>5 KG</t>
        </is>
      </c>
      <c r="D18" t="n">
        <v>5000</v>
      </c>
      <c r="E18" t="inlineStr">
        <is>
          <t>g</t>
        </is>
      </c>
      <c r="F18">
        <f>I18/D18</f>
        <v/>
      </c>
      <c r="G18" t="n">
        <v>0</v>
      </c>
      <c r="H18">
        <f>F18/(1-G18)</f>
        <v/>
      </c>
      <c r="I18" t="n">
        <v>39.04</v>
      </c>
    </row>
    <row r="19">
      <c r="A19" t="inlineStr">
        <is>
          <t>Heavy cream</t>
        </is>
      </c>
      <c r="B19" t="inlineStr">
        <is>
          <t>Heavy cream 36%</t>
        </is>
      </c>
      <c r="C19" t="inlineStr">
        <is>
          <t>1 L</t>
        </is>
      </c>
      <c r="D19" t="n">
        <v>1000</v>
      </c>
      <c r="E19" t="inlineStr">
        <is>
          <t>ml</t>
        </is>
      </c>
      <c r="F19">
        <f>I19/D19</f>
        <v/>
      </c>
      <c r="G19" t="n">
        <v>0</v>
      </c>
      <c r="H19">
        <f>F19/(1-G19)</f>
        <v/>
      </c>
      <c r="I19" t="n">
        <v>6.26</v>
      </c>
    </row>
    <row r="20">
      <c r="A20" t="inlineStr">
        <is>
          <t>Garlic</t>
        </is>
      </c>
      <c r="B20" t="inlineStr">
        <is>
          <t>Garlic, peeled</t>
        </is>
      </c>
      <c r="C20" t="inlineStr">
        <is>
          <t>1 KG</t>
        </is>
      </c>
      <c r="D20" t="n">
        <v>1000</v>
      </c>
      <c r="E20" t="inlineStr">
        <is>
          <t>g</t>
        </is>
      </c>
      <c r="F20">
        <f>I20/D20</f>
        <v/>
      </c>
      <c r="G20" t="n">
        <v>0</v>
      </c>
      <c r="H20">
        <f>F20/(1-G20)</f>
        <v/>
      </c>
      <c r="I20" t="n">
        <v>11.59</v>
      </c>
    </row>
    <row r="21">
      <c r="A21" t="inlineStr">
        <is>
          <t>Flour</t>
        </is>
      </c>
      <c r="B21" t="inlineStr">
        <is>
          <t>All-purpose flour</t>
        </is>
      </c>
      <c r="C21" t="inlineStr">
        <is>
          <t>10 KG</t>
        </is>
      </c>
      <c r="D21" t="n">
        <v>10000</v>
      </c>
      <c r="E21" t="inlineStr">
        <is>
          <t>g</t>
        </is>
      </c>
      <c r="F21">
        <f>I21/D21</f>
        <v/>
      </c>
      <c r="G21" t="n">
        <v>0</v>
      </c>
      <c r="H21">
        <f>F21/(1-G21)</f>
        <v/>
      </c>
      <c r="I21" t="n">
        <v>15.23</v>
      </c>
    </row>
    <row r="22">
      <c r="A22" t="inlineStr">
        <is>
          <t>San Marzano tomatoes</t>
        </is>
      </c>
      <c r="B22" t="inlineStr">
        <is>
          <t>San Marzano tomatoes</t>
        </is>
      </c>
      <c r="C22" t="inlineStr">
        <is>
          <t>2.5 KG TIN</t>
        </is>
      </c>
      <c r="D22" t="n">
        <v>2500</v>
      </c>
      <c r="E22" t="inlineStr">
        <is>
          <t>g</t>
        </is>
      </c>
      <c r="F22">
        <f>I22/D22</f>
        <v/>
      </c>
      <c r="G22" t="n">
        <v>0</v>
      </c>
      <c r="H22">
        <f>F22/(1-G22)</f>
        <v/>
      </c>
      <c r="I22" t="n">
        <v>11.34</v>
      </c>
    </row>
    <row r="23">
      <c r="A23" t="inlineStr">
        <is>
          <t>Mozzarella</t>
        </is>
      </c>
      <c r="B23" t="inlineStr">
        <is>
          <t>Fresh mozzarella</t>
        </is>
      </c>
      <c r="C23" t="inlineStr">
        <is>
          <t>1 KG</t>
        </is>
      </c>
      <c r="D23" t="n">
        <v>1000</v>
      </c>
      <c r="E23" t="inlineStr">
        <is>
          <t>g</t>
        </is>
      </c>
      <c r="F23">
        <f>I23/D23</f>
        <v/>
      </c>
      <c r="G23" t="n">
        <v>0</v>
      </c>
      <c r="H23">
        <f>F23/(1-G23)</f>
        <v/>
      </c>
      <c r="I23" t="n">
        <v>19.22</v>
      </c>
    </row>
    <row r="24">
      <c r="A24" t="inlineStr">
        <is>
          <t>Olive oil</t>
        </is>
      </c>
      <c r="B24" t="inlineStr">
        <is>
          <t>Extra virgin olive oil</t>
        </is>
      </c>
      <c r="C24" t="inlineStr">
        <is>
          <t>3 L TIN</t>
        </is>
      </c>
      <c r="D24" t="n">
        <v>3000</v>
      </c>
      <c r="E24" t="inlineStr">
        <is>
          <t>ml</t>
        </is>
      </c>
      <c r="F24">
        <f>I24/D24</f>
        <v/>
      </c>
      <c r="G24" t="n">
        <v>0</v>
      </c>
      <c r="H24">
        <f>F24/(1-G24)</f>
        <v/>
      </c>
      <c r="I24" t="n">
        <v>42.94</v>
      </c>
    </row>
    <row r="25">
      <c r="A25" t="inlineStr">
        <is>
          <t>Basil</t>
        </is>
      </c>
      <c r="B25" t="inlineStr">
        <is>
          <t>Basil, fresh</t>
        </is>
      </c>
      <c r="C25" t="inlineStr">
        <is>
          <t>500 G</t>
        </is>
      </c>
      <c r="D25" t="n">
        <v>500</v>
      </c>
      <c r="E25" t="inlineStr">
        <is>
          <t>g</t>
        </is>
      </c>
      <c r="F25">
        <f>I25/D25</f>
        <v/>
      </c>
      <c r="G25" t="n">
        <v>0</v>
      </c>
      <c r="H25">
        <f>F25/(1-G25)</f>
        <v/>
      </c>
      <c r="I25" t="n">
        <v>13.32</v>
      </c>
    </row>
    <row r="26">
      <c r="A26" t="inlineStr">
        <is>
          <t>Mixed greens</t>
        </is>
      </c>
      <c r="B26" t="inlineStr">
        <is>
          <t>Mixed greens</t>
        </is>
      </c>
      <c r="C26" t="inlineStr">
        <is>
          <t>1.5 KG</t>
        </is>
      </c>
      <c r="D26" t="n">
        <v>1500</v>
      </c>
      <c r="E26" t="inlineStr">
        <is>
          <t>g</t>
        </is>
      </c>
      <c r="F26">
        <f>I26/D26</f>
        <v/>
      </c>
      <c r="G26" t="n">
        <v>0</v>
      </c>
      <c r="H26">
        <f>F26/(1-G26)</f>
        <v/>
      </c>
      <c r="I26" t="n">
        <v>15.92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