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  <sheet name="B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Vendor</t>
        </is>
      </c>
      <c r="B1" s="1" t="inlineStr">
        <is>
          <t>Current</t>
        </is>
      </c>
      <c r="C1" s="1" t="inlineStr">
        <is>
          <t>1-30</t>
        </is>
      </c>
      <c r="D1" s="1" t="inlineStr">
        <is>
          <t>31-60</t>
        </is>
      </c>
      <c r="E1" s="1" t="inlineStr">
        <is>
          <t>61-90</t>
        </is>
      </c>
      <c r="F1" s="1" t="inlineStr">
        <is>
          <t>Over 90</t>
        </is>
      </c>
      <c r="G1" s="1" t="inlineStr">
        <is>
          <t>Total</t>
        </is>
      </c>
    </row>
    <row r="2">
      <c r="A2" t="inlineStr">
        <is>
          <t>Barrel &amp; Stave Cooperage</t>
        </is>
      </c>
      <c r="B2">
        <f>SUMIFS(Bills!$G$2:$G$42,Bills!$A$2:$A$42,$A2,Bills!$H$2:$H$42,B$1)</f>
        <v/>
      </c>
      <c r="C2">
        <f>SUMIFS(Bills!$G$2:$G$42,Bills!$A$2:$A$42,$A2,Bills!$H$2:$H$42,C$1)</f>
        <v/>
      </c>
      <c r="D2">
        <f>SUMIFS(Bills!$G$2:$G$42,Bills!$A$2:$A$42,$A2,Bills!$H$2:$H$42,D$1)</f>
        <v/>
      </c>
      <c r="E2">
        <f>SUMIFS(Bills!$G$2:$G$42,Bills!$A$2:$A$42,$A2,Bills!$H$2:$H$42,E$1)</f>
        <v/>
      </c>
      <c r="F2">
        <f>SUMIFS(Bills!$G$2:$G$42,Bills!$A$2:$A$42,$A2,Bills!$H$2:$H$42,F$1)</f>
        <v/>
      </c>
      <c r="G2">
        <f>SUM(B2:F2)</f>
        <v/>
      </c>
    </row>
    <row r="3">
      <c r="A3" t="inlineStr">
        <is>
          <t>Brightline Pest Control</t>
        </is>
      </c>
      <c r="B3">
        <f>SUMIFS(Bills!$G$2:$G$42,Bills!$A$2:$A$42,$A3,Bills!$H$2:$H$42,B$1)</f>
        <v/>
      </c>
      <c r="C3">
        <f>SUMIFS(Bills!$G$2:$G$42,Bills!$A$2:$A$42,$A3,Bills!$H$2:$H$42,C$1)</f>
        <v/>
      </c>
      <c r="D3">
        <f>SUMIFS(Bills!$G$2:$G$42,Bills!$A$2:$A$42,$A3,Bills!$H$2:$H$42,D$1)</f>
        <v/>
      </c>
      <c r="E3">
        <f>SUMIFS(Bills!$G$2:$G$42,Bills!$A$2:$A$42,$A3,Bills!$H$2:$H$42,E$1)</f>
        <v/>
      </c>
      <c r="F3">
        <f>SUMIFS(Bills!$G$2:$G$42,Bills!$A$2:$A$42,$A3,Bills!$H$2:$H$42,F$1)</f>
        <v/>
      </c>
      <c r="G3">
        <f>SUM(B3:F3)</f>
        <v/>
      </c>
    </row>
    <row r="4">
      <c r="A4" t="inlineStr">
        <is>
          <t>Cascade Glass Packaging</t>
        </is>
      </c>
      <c r="B4">
        <f>SUMIFS(Bills!$G$2:$G$42,Bills!$A$2:$A$42,$A4,Bills!$H$2:$H$42,B$1)</f>
        <v/>
      </c>
      <c r="C4">
        <f>SUMIFS(Bills!$G$2:$G$42,Bills!$A$2:$A$42,$A4,Bills!$H$2:$H$42,C$1)</f>
        <v/>
      </c>
      <c r="D4">
        <f>SUMIFS(Bills!$G$2:$G$42,Bills!$A$2:$A$42,$A4,Bills!$H$2:$H$42,D$1)</f>
        <v/>
      </c>
      <c r="E4">
        <f>SUMIFS(Bills!$G$2:$G$42,Bills!$A$2:$A$42,$A4,Bills!$H$2:$H$42,E$1)</f>
        <v/>
      </c>
      <c r="F4">
        <f>SUMIFS(Bills!$G$2:$G$42,Bills!$A$2:$A$42,$A4,Bills!$H$2:$H$42,F$1)</f>
        <v/>
      </c>
      <c r="G4">
        <f>SUM(B4:F4)</f>
        <v/>
      </c>
    </row>
    <row r="5">
      <c r="A5" t="inlineStr">
        <is>
          <t>Cedar Ridge Electric</t>
        </is>
      </c>
      <c r="B5">
        <f>SUMIFS(Bills!$G$2:$G$42,Bills!$A$2:$A$42,$A5,Bills!$H$2:$H$42,B$1)</f>
        <v/>
      </c>
      <c r="C5">
        <f>SUMIFS(Bills!$G$2:$G$42,Bills!$A$2:$A$42,$A5,Bills!$H$2:$H$42,C$1)</f>
        <v/>
      </c>
      <c r="D5">
        <f>SUMIFS(Bills!$G$2:$G$42,Bills!$A$2:$A$42,$A5,Bills!$H$2:$H$42,D$1)</f>
        <v/>
      </c>
      <c r="E5">
        <f>SUMIFS(Bills!$G$2:$G$42,Bills!$A$2:$A$42,$A5,Bills!$H$2:$H$42,E$1)</f>
        <v/>
      </c>
      <c r="F5">
        <f>SUMIFS(Bills!$G$2:$G$42,Bills!$A$2:$A$42,$A5,Bills!$H$2:$H$42,F$1)</f>
        <v/>
      </c>
      <c r="G5">
        <f>SUM(B5:F5)</f>
        <v/>
      </c>
    </row>
    <row r="6">
      <c r="A6" t="inlineStr">
        <is>
          <t>Hopkins Family Pears</t>
        </is>
      </c>
      <c r="B6">
        <f>SUMIFS(Bills!$G$2:$G$42,Bills!$A$2:$A$42,$A6,Bills!$H$2:$H$42,B$1)</f>
        <v/>
      </c>
      <c r="C6">
        <f>SUMIFS(Bills!$G$2:$G$42,Bills!$A$2:$A$42,$A6,Bills!$H$2:$H$42,C$1)</f>
        <v/>
      </c>
      <c r="D6">
        <f>SUMIFS(Bills!$G$2:$G$42,Bills!$A$2:$A$42,$A6,Bills!$H$2:$H$42,D$1)</f>
        <v/>
      </c>
      <c r="E6">
        <f>SUMIFS(Bills!$G$2:$G$42,Bills!$A$2:$A$42,$A6,Bills!$H$2:$H$42,E$1)</f>
        <v/>
      </c>
      <c r="F6">
        <f>SUMIFS(Bills!$G$2:$G$42,Bills!$A$2:$A$42,$A6,Bills!$H$2:$H$42,F$1)</f>
        <v/>
      </c>
      <c r="G6">
        <f>SUM(B6:F6)</f>
        <v/>
      </c>
    </row>
    <row r="7">
      <c r="A7" t="inlineStr">
        <is>
          <t>Label Lab Printing</t>
        </is>
      </c>
      <c r="B7">
        <f>SUMIFS(Bills!$G$2:$G$42,Bills!$A$2:$A$42,$A7,Bills!$H$2:$H$42,B$1)</f>
        <v/>
      </c>
      <c r="C7">
        <f>SUMIFS(Bills!$G$2:$G$42,Bills!$A$2:$A$42,$A7,Bills!$H$2:$H$42,C$1)</f>
        <v/>
      </c>
      <c r="D7">
        <f>SUMIFS(Bills!$G$2:$G$42,Bills!$A$2:$A$42,$A7,Bills!$H$2:$H$42,D$1)</f>
        <v/>
      </c>
      <c r="E7">
        <f>SUMIFS(Bills!$G$2:$G$42,Bills!$A$2:$A$42,$A7,Bills!$H$2:$H$42,E$1)</f>
        <v/>
      </c>
      <c r="F7">
        <f>SUMIFS(Bills!$G$2:$G$42,Bills!$A$2:$A$42,$A7,Bills!$H$2:$H$42,F$1)</f>
        <v/>
      </c>
      <c r="G7">
        <f>SUM(B7:F7)</f>
        <v/>
      </c>
    </row>
    <row r="8">
      <c r="A8" t="inlineStr">
        <is>
          <t>Northline Freight</t>
        </is>
      </c>
      <c r="B8">
        <f>SUMIFS(Bills!$G$2:$G$42,Bills!$A$2:$A$42,$A8,Bills!$H$2:$H$42,B$1)</f>
        <v/>
      </c>
      <c r="C8">
        <f>SUMIFS(Bills!$G$2:$G$42,Bills!$A$2:$A$42,$A8,Bills!$H$2:$H$42,C$1)</f>
        <v/>
      </c>
      <c r="D8">
        <f>SUMIFS(Bills!$G$2:$G$42,Bills!$A$2:$A$42,$A8,Bills!$H$2:$H$42,D$1)</f>
        <v/>
      </c>
      <c r="E8">
        <f>SUMIFS(Bills!$G$2:$G$42,Bills!$A$2:$A$42,$A8,Bills!$H$2:$H$42,E$1)</f>
        <v/>
      </c>
      <c r="F8">
        <f>SUMIFS(Bills!$G$2:$G$42,Bills!$A$2:$A$42,$A8,Bills!$H$2:$H$42,F$1)</f>
        <v/>
      </c>
      <c r="G8">
        <f>SUM(B8:F8)</f>
        <v/>
      </c>
    </row>
    <row r="9">
      <c r="A9" t="inlineStr">
        <is>
          <t>Orchard Valley Fruit Co.</t>
        </is>
      </c>
      <c r="B9">
        <f>SUMIFS(Bills!$G$2:$G$42,Bills!$A$2:$A$42,$A9,Bills!$H$2:$H$42,B$1)</f>
        <v/>
      </c>
      <c r="C9">
        <f>SUMIFS(Bills!$G$2:$G$42,Bills!$A$2:$A$42,$A9,Bills!$H$2:$H$42,C$1)</f>
        <v/>
      </c>
      <c r="D9">
        <f>SUMIFS(Bills!$G$2:$G$42,Bills!$A$2:$A$42,$A9,Bills!$H$2:$H$42,D$1)</f>
        <v/>
      </c>
      <c r="E9">
        <f>SUMIFS(Bills!$G$2:$G$42,Bills!$A$2:$A$42,$A9,Bills!$H$2:$H$42,E$1)</f>
        <v/>
      </c>
      <c r="F9">
        <f>SUMIFS(Bills!$G$2:$G$42,Bills!$A$2:$A$42,$A9,Bills!$H$2:$H$42,F$1)</f>
        <v/>
      </c>
      <c r="G9">
        <f>SUM(B9:F9)</f>
        <v/>
      </c>
    </row>
    <row r="10">
      <c r="A10" t="inlineStr">
        <is>
          <t>Pacific Corrugated Box</t>
        </is>
      </c>
      <c r="B10">
        <f>SUMIFS(Bills!$G$2:$G$42,Bills!$A$2:$A$42,$A10,Bills!$H$2:$H$42,B$1)</f>
        <v/>
      </c>
      <c r="C10">
        <f>SUMIFS(Bills!$G$2:$G$42,Bills!$A$2:$A$42,$A10,Bills!$H$2:$H$42,C$1)</f>
        <v/>
      </c>
      <c r="D10">
        <f>SUMIFS(Bills!$G$2:$G$42,Bills!$A$2:$A$42,$A10,Bills!$H$2:$H$42,D$1)</f>
        <v/>
      </c>
      <c r="E10">
        <f>SUMIFS(Bills!$G$2:$G$42,Bills!$A$2:$A$42,$A10,Bills!$H$2:$H$42,E$1)</f>
        <v/>
      </c>
      <c r="F10">
        <f>SUMIFS(Bills!$G$2:$G$42,Bills!$A$2:$A$42,$A10,Bills!$H$2:$H$42,F$1)</f>
        <v/>
      </c>
      <c r="G10">
        <f>SUM(B10:F10)</f>
        <v/>
      </c>
    </row>
    <row r="11">
      <c r="A11" t="inlineStr">
        <is>
          <t>Summit Gas &amp; Welding Supply</t>
        </is>
      </c>
      <c r="B11">
        <f>SUMIFS(Bills!$G$2:$G$42,Bills!$A$2:$A$42,$A11,Bills!$H$2:$H$42,B$1)</f>
        <v/>
      </c>
      <c r="C11">
        <f>SUMIFS(Bills!$G$2:$G$42,Bills!$A$2:$A$42,$A11,Bills!$H$2:$H$42,C$1)</f>
        <v/>
      </c>
      <c r="D11">
        <f>SUMIFS(Bills!$G$2:$G$42,Bills!$A$2:$A$42,$A11,Bills!$H$2:$H$42,D$1)</f>
        <v/>
      </c>
      <c r="E11">
        <f>SUMIFS(Bills!$G$2:$G$42,Bills!$A$2:$A$42,$A11,Bills!$H$2:$H$42,E$1)</f>
        <v/>
      </c>
      <c r="F11">
        <f>SUMIFS(Bills!$G$2:$G$42,Bills!$A$2:$A$42,$A11,Bills!$H$2:$H$42,F$1)</f>
        <v/>
      </c>
      <c r="G11">
        <f>SUM(B11:F11)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</row>
    <row r="13">
      <c r="A13" t="inlineStr">
        <is>
          <t>Total past due</t>
        </is>
      </c>
      <c r="B13">
        <f>SUM(C12:F12)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Vendor</t>
        </is>
      </c>
      <c r="B1" s="1" t="inlineStr">
        <is>
          <t>Bill / credit</t>
        </is>
      </c>
      <c r="C1" s="1" t="inlineStr">
        <is>
          <t>Date</t>
        </is>
      </c>
      <c r="D1" s="1" t="inlineStr">
        <is>
          <t>Terms</t>
        </is>
      </c>
      <c r="E1" s="1" t="inlineStr">
        <is>
          <t>Due date</t>
        </is>
      </c>
      <c r="F1" s="1" t="inlineStr">
        <is>
          <t>Days past due</t>
        </is>
      </c>
      <c r="G1" s="1" t="inlineStr">
        <is>
          <t>Open amount</t>
        </is>
      </c>
      <c r="H1" s="1" t="inlineStr">
        <is>
          <t>Bucket</t>
        </is>
      </c>
    </row>
    <row r="2">
      <c r="A2" t="inlineStr">
        <is>
          <t>Barrel &amp; Stave Cooperage</t>
        </is>
      </c>
      <c r="B2" t="inlineStr">
        <is>
          <t>BSC-20648</t>
        </is>
      </c>
      <c r="C2" s="2" t="n">
        <v>46093</v>
      </c>
      <c r="D2" t="inlineStr">
        <is>
          <t>Net 60</t>
        </is>
      </c>
      <c r="E2" s="2" t="n">
        <v>46153</v>
      </c>
      <c r="F2" t="n">
        <v>112</v>
      </c>
      <c r="G2" s="3" t="n">
        <v>7420</v>
      </c>
      <c r="H2" t="inlineStr">
        <is>
          <t>Over 90</t>
        </is>
      </c>
    </row>
    <row r="3">
      <c r="A3" t="inlineStr">
        <is>
          <t>Barrel &amp; Stave Cooperage</t>
        </is>
      </c>
      <c r="B3" t="inlineStr">
        <is>
          <t>BSC-20772</t>
        </is>
      </c>
      <c r="C3" s="2" t="n">
        <v>46172</v>
      </c>
      <c r="D3" t="inlineStr">
        <is>
          <t>Net 60</t>
        </is>
      </c>
      <c r="E3" s="2" t="n">
        <v>46232</v>
      </c>
      <c r="F3" t="n">
        <v>33</v>
      </c>
      <c r="G3" s="3" t="n">
        <v>2237.84</v>
      </c>
      <c r="H3" t="inlineStr">
        <is>
          <t>31-60</t>
        </is>
      </c>
    </row>
    <row r="4">
      <c r="A4" t="inlineStr">
        <is>
          <t>Barrel &amp; Stave Cooperage</t>
        </is>
      </c>
      <c r="B4" t="inlineStr">
        <is>
          <t>BSC-20732</t>
        </is>
      </c>
      <c r="C4" s="2" t="n">
        <v>46189</v>
      </c>
      <c r="D4" t="inlineStr">
        <is>
          <t>Net 60</t>
        </is>
      </c>
      <c r="E4" s="2" t="n">
        <v>46249</v>
      </c>
      <c r="F4" t="n">
        <v>16</v>
      </c>
      <c r="G4" s="3" t="n">
        <v>8128.25</v>
      </c>
      <c r="H4" t="inlineStr">
        <is>
          <t>1-30</t>
        </is>
      </c>
    </row>
    <row r="5">
      <c r="A5" t="inlineStr">
        <is>
          <t>Barrel &amp; Stave Cooperage</t>
        </is>
      </c>
      <c r="B5" t="inlineStr">
        <is>
          <t>BSC-20789</t>
        </is>
      </c>
      <c r="C5" s="2" t="n">
        <v>46193</v>
      </c>
      <c r="D5" t="inlineStr">
        <is>
          <t>Net 60</t>
        </is>
      </c>
      <c r="E5" s="2" t="n">
        <v>46253</v>
      </c>
      <c r="F5" t="n">
        <v>12</v>
      </c>
      <c r="G5" s="3" t="n">
        <v>2503.74</v>
      </c>
      <c r="H5" t="inlineStr">
        <is>
          <t>1-30</t>
        </is>
      </c>
    </row>
    <row r="6">
      <c r="A6" t="inlineStr">
        <is>
          <t>Barrel &amp; Stave Cooperage</t>
        </is>
      </c>
      <c r="B6" t="inlineStr">
        <is>
          <t>BSC-20757</t>
        </is>
      </c>
      <c r="C6" s="2" t="n">
        <v>46236</v>
      </c>
      <c r="D6" t="inlineStr">
        <is>
          <t>Net 60</t>
        </is>
      </c>
      <c r="E6" s="2" t="n">
        <v>46296</v>
      </c>
      <c r="F6" t="n">
        <v>-31</v>
      </c>
      <c r="G6" s="3" t="n">
        <v>4161.35</v>
      </c>
      <c r="H6" t="inlineStr">
        <is>
          <t>Current</t>
        </is>
      </c>
    </row>
    <row r="7">
      <c r="A7" t="inlineStr">
        <is>
          <t>Barrel &amp; Stave Cooperage</t>
        </is>
      </c>
      <c r="B7" t="inlineStr">
        <is>
          <t>BSC-20703</t>
        </is>
      </c>
      <c r="C7" s="2" t="n">
        <v>46252</v>
      </c>
      <c r="D7" t="inlineStr">
        <is>
          <t>Net 60</t>
        </is>
      </c>
      <c r="E7" s="2" t="n">
        <v>46312</v>
      </c>
      <c r="F7" t="n">
        <v>-47</v>
      </c>
      <c r="G7" s="3" t="n">
        <v>5757.27</v>
      </c>
      <c r="H7" t="inlineStr">
        <is>
          <t>Current</t>
        </is>
      </c>
    </row>
    <row r="8">
      <c r="A8" t="inlineStr">
        <is>
          <t>Brightline Pest Control</t>
        </is>
      </c>
      <c r="B8" t="inlineStr">
        <is>
          <t>BPC-20630</t>
        </is>
      </c>
      <c r="C8" s="2" t="n">
        <v>46169</v>
      </c>
      <c r="D8" t="inlineStr">
        <is>
          <t>Net 15</t>
        </is>
      </c>
      <c r="E8" s="2" t="n">
        <v>46184</v>
      </c>
      <c r="F8" t="n">
        <v>81</v>
      </c>
      <c r="G8" s="3" t="n">
        <v>126.02</v>
      </c>
      <c r="H8" t="inlineStr">
        <is>
          <t>61-90</t>
        </is>
      </c>
    </row>
    <row r="9">
      <c r="A9" t="inlineStr">
        <is>
          <t>Brightline Pest Control</t>
        </is>
      </c>
      <c r="B9" t="inlineStr">
        <is>
          <t>BPC-20602</t>
        </is>
      </c>
      <c r="C9" s="2" t="n">
        <v>46171</v>
      </c>
      <c r="D9" t="inlineStr">
        <is>
          <t>Net 15</t>
        </is>
      </c>
      <c r="E9" s="2" t="n">
        <v>46186</v>
      </c>
      <c r="F9" t="n">
        <v>79</v>
      </c>
      <c r="G9" s="3" t="n">
        <v>188.8</v>
      </c>
      <c r="H9" t="inlineStr">
        <is>
          <t>61-90</t>
        </is>
      </c>
    </row>
    <row r="10">
      <c r="A10" t="inlineStr">
        <is>
          <t>Brightline Pest Control</t>
        </is>
      </c>
      <c r="B10" t="inlineStr">
        <is>
          <t>BPC-20663</t>
        </is>
      </c>
      <c r="C10" s="2" t="n">
        <v>46187</v>
      </c>
      <c r="D10" t="inlineStr">
        <is>
          <t>Net 15</t>
        </is>
      </c>
      <c r="E10" s="2" t="n">
        <v>46202</v>
      </c>
      <c r="F10" t="n">
        <v>63</v>
      </c>
      <c r="G10" s="3" t="n">
        <v>132.72</v>
      </c>
      <c r="H10" t="inlineStr">
        <is>
          <t>61-90</t>
        </is>
      </c>
    </row>
    <row r="11">
      <c r="A11" t="inlineStr">
        <is>
          <t>Cascade Glass Packaging</t>
        </is>
      </c>
      <c r="B11" t="inlineStr">
        <is>
          <t>CGP-20896</t>
        </is>
      </c>
      <c r="C11" s="2" t="n">
        <v>46202</v>
      </c>
      <c r="D11" t="inlineStr">
        <is>
          <t>2% 10 Net 30</t>
        </is>
      </c>
      <c r="E11" s="2" t="n">
        <v>46232</v>
      </c>
      <c r="F11" t="n">
        <v>33</v>
      </c>
      <c r="G11" s="3" t="n">
        <v>4570</v>
      </c>
      <c r="H11" t="inlineStr">
        <is>
          <t>31-60</t>
        </is>
      </c>
    </row>
    <row r="12">
      <c r="A12" t="inlineStr">
        <is>
          <t>Cascade Glass Packaging</t>
        </is>
      </c>
      <c r="B12" t="inlineStr">
        <is>
          <t>CGP-20899</t>
        </is>
      </c>
      <c r="C12" s="2" t="n">
        <v>46232</v>
      </c>
      <c r="D12" t="inlineStr">
        <is>
          <t>2% 10 Net 30</t>
        </is>
      </c>
      <c r="E12" s="2" t="n">
        <v>46262</v>
      </c>
      <c r="F12" t="n">
        <v>3</v>
      </c>
      <c r="G12" s="3" t="n">
        <v>2981.58</v>
      </c>
      <c r="H12" t="inlineStr">
        <is>
          <t>1-30</t>
        </is>
      </c>
    </row>
    <row r="13">
      <c r="A13" t="inlineStr">
        <is>
          <t>Cascade Glass Packaging</t>
        </is>
      </c>
      <c r="B13" t="inlineStr">
        <is>
          <t>CGP-20917</t>
        </is>
      </c>
      <c r="C13" s="2" t="n">
        <v>46240</v>
      </c>
      <c r="D13" t="inlineStr">
        <is>
          <t>2% 10 Net 30</t>
        </is>
      </c>
      <c r="E13" s="2" t="n">
        <v>46270</v>
      </c>
      <c r="F13" t="n">
        <v>-5</v>
      </c>
      <c r="G13" s="3" t="n">
        <v>3766.6</v>
      </c>
      <c r="H13" t="inlineStr">
        <is>
          <t>Current</t>
        </is>
      </c>
    </row>
    <row r="14">
      <c r="A14" t="inlineStr">
        <is>
          <t>Cascade Glass Packaging</t>
        </is>
      </c>
      <c r="B14" t="inlineStr">
        <is>
          <t>CGP-20887</t>
        </is>
      </c>
      <c r="C14" s="2" t="n">
        <v>46244</v>
      </c>
      <c r="D14" t="inlineStr">
        <is>
          <t>2% 10 Net 30</t>
        </is>
      </c>
      <c r="E14" s="2" t="n">
        <v>46274</v>
      </c>
      <c r="F14" t="n">
        <v>-9</v>
      </c>
      <c r="G14" s="3" t="n">
        <v>4380</v>
      </c>
      <c r="H14" t="inlineStr">
        <is>
          <t>Current</t>
        </is>
      </c>
    </row>
    <row r="15">
      <c r="A15" t="inlineStr">
        <is>
          <t>Cedar Ridge Electric</t>
        </is>
      </c>
      <c r="B15" t="inlineStr">
        <is>
          <t>CRE-20538</t>
        </is>
      </c>
      <c r="C15" s="2" t="n">
        <v>46166</v>
      </c>
      <c r="D15" t="inlineStr">
        <is>
          <t>Due on receipt</t>
        </is>
      </c>
      <c r="E15" s="2" t="n">
        <v>46166</v>
      </c>
      <c r="F15" t="n">
        <v>99</v>
      </c>
      <c r="G15" s="3" t="n">
        <v>1079.27</v>
      </c>
      <c r="H15" t="inlineStr">
        <is>
          <t>Over 90</t>
        </is>
      </c>
    </row>
    <row r="16">
      <c r="A16" t="inlineStr">
        <is>
          <t>Cedar Ridge Electric</t>
        </is>
      </c>
      <c r="B16" t="inlineStr">
        <is>
          <t>CRE-20524</t>
        </is>
      </c>
      <c r="C16" s="2" t="n">
        <v>46212</v>
      </c>
      <c r="D16" t="inlineStr">
        <is>
          <t>Due on receipt</t>
        </is>
      </c>
      <c r="E16" s="2" t="n">
        <v>46212</v>
      </c>
      <c r="F16" t="n">
        <v>53</v>
      </c>
      <c r="G16" s="3" t="n">
        <v>400.82</v>
      </c>
      <c r="H16" t="inlineStr">
        <is>
          <t>31-60</t>
        </is>
      </c>
    </row>
    <row r="17">
      <c r="A17" t="inlineStr">
        <is>
          <t>Hopkins Family Pears</t>
        </is>
      </c>
      <c r="B17" t="inlineStr">
        <is>
          <t>HFP-20421</t>
        </is>
      </c>
      <c r="C17" s="2" t="n">
        <v>46195</v>
      </c>
      <c r="D17" t="inlineStr">
        <is>
          <t>Net 30</t>
        </is>
      </c>
      <c r="E17" s="2" t="n">
        <v>46225</v>
      </c>
      <c r="F17" t="n">
        <v>40</v>
      </c>
      <c r="G17" s="3" t="n">
        <v>1890</v>
      </c>
      <c r="H17" t="inlineStr">
        <is>
          <t>31-60</t>
        </is>
      </c>
    </row>
    <row r="18">
      <c r="A18" t="inlineStr">
        <is>
          <t>Hopkins Family Pears</t>
        </is>
      </c>
      <c r="B18" t="inlineStr">
        <is>
          <t>HFP-20425</t>
        </is>
      </c>
      <c r="C18" s="2" t="n">
        <v>46223</v>
      </c>
      <c r="D18" t="inlineStr">
        <is>
          <t>Net 30</t>
        </is>
      </c>
      <c r="E18" s="2" t="n">
        <v>46253</v>
      </c>
      <c r="F18" t="n">
        <v>12</v>
      </c>
      <c r="G18" s="3" t="n">
        <v>1594.9</v>
      </c>
      <c r="H18" t="inlineStr">
        <is>
          <t>1-30</t>
        </is>
      </c>
    </row>
    <row r="19">
      <c r="A19" t="inlineStr">
        <is>
          <t>Hopkins Family Pears</t>
        </is>
      </c>
      <c r="B19" t="inlineStr">
        <is>
          <t>HFP-20432</t>
        </is>
      </c>
      <c r="C19" s="2" t="n">
        <v>46231</v>
      </c>
      <c r="D19" t="inlineStr">
        <is>
          <t>Net 30</t>
        </is>
      </c>
      <c r="E19" s="2" t="n">
        <v>46261</v>
      </c>
      <c r="F19" t="n">
        <v>4</v>
      </c>
      <c r="G19" s="3" t="n">
        <v>1152.27</v>
      </c>
      <c r="H19" t="inlineStr">
        <is>
          <t>1-30</t>
        </is>
      </c>
    </row>
    <row r="20">
      <c r="A20" t="inlineStr">
        <is>
          <t>Label Lab Printing</t>
        </is>
      </c>
      <c r="B20" t="inlineStr">
        <is>
          <t>LL-20570</t>
        </is>
      </c>
      <c r="C20" s="2" t="n">
        <v>46132</v>
      </c>
      <c r="D20" t="inlineStr">
        <is>
          <t>Net 15</t>
        </is>
      </c>
      <c r="E20" s="2" t="n">
        <v>46147</v>
      </c>
      <c r="F20" t="n">
        <v>118</v>
      </c>
      <c r="G20" s="3" t="n">
        <v>1865.4</v>
      </c>
      <c r="H20" t="inlineStr">
        <is>
          <t>Over 90</t>
        </is>
      </c>
    </row>
    <row r="21">
      <c r="A21" t="inlineStr">
        <is>
          <t>Label Lab Printing</t>
        </is>
      </c>
      <c r="B21" t="inlineStr">
        <is>
          <t>LL-20646</t>
        </is>
      </c>
      <c r="C21" s="2" t="n">
        <v>46190</v>
      </c>
      <c r="D21" t="inlineStr">
        <is>
          <t>Net 15</t>
        </is>
      </c>
      <c r="E21" s="2" t="n">
        <v>46205</v>
      </c>
      <c r="F21" t="n">
        <v>60</v>
      </c>
      <c r="G21" s="3" t="n">
        <v>909.73</v>
      </c>
      <c r="H21" t="inlineStr">
        <is>
          <t>31-60</t>
        </is>
      </c>
    </row>
    <row r="22">
      <c r="A22" t="inlineStr">
        <is>
          <t>Label Lab Printing</t>
        </is>
      </c>
      <c r="B22" t="inlineStr">
        <is>
          <t>LL-20681</t>
        </is>
      </c>
      <c r="C22" s="2" t="n">
        <v>46219</v>
      </c>
      <c r="D22" t="inlineStr">
        <is>
          <t>Net 15</t>
        </is>
      </c>
      <c r="E22" s="2" t="n">
        <v>46234</v>
      </c>
      <c r="F22" t="n">
        <v>31</v>
      </c>
      <c r="G22" s="3" t="n">
        <v>582.5</v>
      </c>
      <c r="H22" t="inlineStr">
        <is>
          <t>31-60</t>
        </is>
      </c>
    </row>
    <row r="23">
      <c r="A23" t="inlineStr">
        <is>
          <t>Label Lab Printing</t>
        </is>
      </c>
      <c r="B23" t="inlineStr">
        <is>
          <t>LL-20691</t>
        </is>
      </c>
      <c r="C23" s="2" t="n">
        <v>46224</v>
      </c>
      <c r="D23" t="inlineStr">
        <is>
          <t>Net 15</t>
        </is>
      </c>
      <c r="E23" s="2" t="n">
        <v>46239</v>
      </c>
      <c r="F23" t="n">
        <v>26</v>
      </c>
      <c r="G23" s="3" t="n">
        <v>622.11</v>
      </c>
      <c r="H23" t="inlineStr">
        <is>
          <t>1-30</t>
        </is>
      </c>
    </row>
    <row r="24">
      <c r="A24" t="inlineStr">
        <is>
          <t>Label Lab Printing</t>
        </is>
      </c>
      <c r="B24" t="inlineStr">
        <is>
          <t>LL-20609</t>
        </is>
      </c>
      <c r="C24" s="2" t="n">
        <v>46252</v>
      </c>
      <c r="D24" t="inlineStr">
        <is>
          <t>Net 15</t>
        </is>
      </c>
      <c r="E24" s="2" t="n">
        <v>46267</v>
      </c>
      <c r="F24" t="n">
        <v>-2</v>
      </c>
      <c r="G24" s="3" t="n">
        <v>2312.45</v>
      </c>
      <c r="H24" t="inlineStr">
        <is>
          <t>Current</t>
        </is>
      </c>
    </row>
    <row r="25">
      <c r="A25" t="inlineStr">
        <is>
          <t>Northline Freight</t>
        </is>
      </c>
      <c r="B25" t="inlineStr">
        <is>
          <t>NLF-20426</t>
        </is>
      </c>
      <c r="C25" s="2" t="n">
        <v>46172</v>
      </c>
      <c r="D25" t="inlineStr">
        <is>
          <t>Net 45</t>
        </is>
      </c>
      <c r="E25" s="2" t="n">
        <v>46217</v>
      </c>
      <c r="F25" t="n">
        <v>48</v>
      </c>
      <c r="G25" s="3" t="n">
        <v>1730.97</v>
      </c>
      <c r="H25" t="inlineStr">
        <is>
          <t>31-60</t>
        </is>
      </c>
    </row>
    <row r="26">
      <c r="A26" t="inlineStr">
        <is>
          <t>Northline Freight</t>
        </is>
      </c>
      <c r="B26" t="inlineStr">
        <is>
          <t>NLF-20389</t>
        </is>
      </c>
      <c r="C26" s="2" t="n">
        <v>46173</v>
      </c>
      <c r="D26" t="inlineStr">
        <is>
          <t>Net 45</t>
        </is>
      </c>
      <c r="E26" s="2" t="n">
        <v>46218</v>
      </c>
      <c r="F26" t="n">
        <v>47</v>
      </c>
      <c r="G26" s="3" t="n">
        <v>1025.01</v>
      </c>
      <c r="H26" t="inlineStr">
        <is>
          <t>31-60</t>
        </is>
      </c>
    </row>
    <row r="27">
      <c r="A27" t="inlineStr">
        <is>
          <t>Northline Freight</t>
        </is>
      </c>
      <c r="B27" t="inlineStr">
        <is>
          <t>VC-1190</t>
        </is>
      </c>
      <c r="C27" s="2" t="n">
        <v>46240</v>
      </c>
      <c r="D27" t="inlineStr">
        <is>
          <t>credit</t>
        </is>
      </c>
      <c r="G27" s="3" t="n">
        <v>-385</v>
      </c>
      <c r="H27" t="inlineStr">
        <is>
          <t>Current</t>
        </is>
      </c>
    </row>
    <row r="28">
      <c r="A28" t="inlineStr">
        <is>
          <t>Orchard Valley Fruit Co.</t>
        </is>
      </c>
      <c r="B28" t="inlineStr">
        <is>
          <t>OVF-20545</t>
        </is>
      </c>
      <c r="C28" s="2" t="n">
        <v>46174</v>
      </c>
      <c r="D28" t="inlineStr">
        <is>
          <t>Net 30 EOM</t>
        </is>
      </c>
      <c r="E28" s="2" t="n">
        <v>46233</v>
      </c>
      <c r="F28" t="n">
        <v>32</v>
      </c>
      <c r="G28" s="3" t="n">
        <v>6135.5</v>
      </c>
      <c r="H28" t="inlineStr">
        <is>
          <t>31-60</t>
        </is>
      </c>
    </row>
    <row r="29">
      <c r="A29" t="inlineStr">
        <is>
          <t>Orchard Valley Fruit Co.</t>
        </is>
      </c>
      <c r="B29" t="inlineStr">
        <is>
          <t>OVF-20578</t>
        </is>
      </c>
      <c r="C29" s="2" t="n">
        <v>46201</v>
      </c>
      <c r="D29" t="inlineStr">
        <is>
          <t>Net 30 EOM</t>
        </is>
      </c>
      <c r="E29" s="2" t="n">
        <v>46233</v>
      </c>
      <c r="F29" t="n">
        <v>32</v>
      </c>
      <c r="G29" s="3" t="n">
        <v>1295.05</v>
      </c>
      <c r="H29" t="inlineStr">
        <is>
          <t>31-60</t>
        </is>
      </c>
    </row>
    <row r="30">
      <c r="A30" t="inlineStr">
        <is>
          <t>Orchard Valley Fruit Co.</t>
        </is>
      </c>
      <c r="B30" t="inlineStr">
        <is>
          <t>OVF-20510</t>
        </is>
      </c>
      <c r="C30" s="2" t="n">
        <v>46217</v>
      </c>
      <c r="D30" t="inlineStr">
        <is>
          <t>Net 30 EOM</t>
        </is>
      </c>
      <c r="E30" s="2" t="n">
        <v>46264</v>
      </c>
      <c r="F30" t="n">
        <v>1</v>
      </c>
      <c r="G30" s="3" t="n">
        <v>8240</v>
      </c>
      <c r="H30" t="inlineStr">
        <is>
          <t>1-30</t>
        </is>
      </c>
    </row>
    <row r="31">
      <c r="A31" t="inlineStr">
        <is>
          <t>Orchard Valley Fruit Co.</t>
        </is>
      </c>
      <c r="B31" t="inlineStr">
        <is>
          <t>OVF-20613</t>
        </is>
      </c>
      <c r="C31" s="2" t="n">
        <v>46232</v>
      </c>
      <c r="D31" t="inlineStr">
        <is>
          <t>Net 30 EOM</t>
        </is>
      </c>
      <c r="E31" s="2" t="n">
        <v>46264</v>
      </c>
      <c r="F31" t="n">
        <v>1</v>
      </c>
      <c r="G31" s="3" t="n">
        <v>5616.08</v>
      </c>
      <c r="H31" t="inlineStr">
        <is>
          <t>1-30</t>
        </is>
      </c>
    </row>
    <row r="32">
      <c r="A32" t="inlineStr">
        <is>
          <t>Orchard Valley Fruit Co.</t>
        </is>
      </c>
      <c r="B32" t="inlineStr">
        <is>
          <t>OVF-20594</t>
        </is>
      </c>
      <c r="C32" s="2" t="n">
        <v>46233</v>
      </c>
      <c r="D32" t="inlineStr">
        <is>
          <t>Net 30 EOM</t>
        </is>
      </c>
      <c r="E32" s="2" t="n">
        <v>46264</v>
      </c>
      <c r="F32" t="n">
        <v>1</v>
      </c>
      <c r="G32" s="3" t="n">
        <v>2605.61</v>
      </c>
      <c r="H32" t="inlineStr">
        <is>
          <t>1-30</t>
        </is>
      </c>
    </row>
    <row r="33">
      <c r="A33" t="inlineStr">
        <is>
          <t>Pacific Corrugated Box</t>
        </is>
      </c>
      <c r="B33" t="inlineStr">
        <is>
          <t>PCB-20678</t>
        </is>
      </c>
      <c r="C33" s="2" t="n">
        <v>46167</v>
      </c>
      <c r="D33" t="inlineStr">
        <is>
          <t>Net 30</t>
        </is>
      </c>
      <c r="E33" s="2" t="n">
        <v>46197</v>
      </c>
      <c r="F33" t="n">
        <v>68</v>
      </c>
      <c r="G33" s="3" t="n">
        <v>2887.94</v>
      </c>
      <c r="H33" t="inlineStr">
        <is>
          <t>61-90</t>
        </is>
      </c>
    </row>
    <row r="34">
      <c r="A34" t="inlineStr">
        <is>
          <t>Pacific Corrugated Box</t>
        </is>
      </c>
      <c r="B34" t="inlineStr">
        <is>
          <t>PCB-20641</t>
        </is>
      </c>
      <c r="C34" s="2" t="n">
        <v>46174</v>
      </c>
      <c r="D34" t="inlineStr">
        <is>
          <t>Net 30</t>
        </is>
      </c>
      <c r="E34" s="2" t="n">
        <v>46204</v>
      </c>
      <c r="F34" t="n">
        <v>61</v>
      </c>
      <c r="G34" s="3" t="n">
        <v>2792.73</v>
      </c>
      <c r="H34" t="inlineStr">
        <is>
          <t>61-90</t>
        </is>
      </c>
    </row>
    <row r="35">
      <c r="A35" t="inlineStr">
        <is>
          <t>Pacific Corrugated Box</t>
        </is>
      </c>
      <c r="B35" t="inlineStr">
        <is>
          <t>PCB-20618</t>
        </is>
      </c>
      <c r="C35" s="2" t="n">
        <v>46213</v>
      </c>
      <c r="D35" t="inlineStr">
        <is>
          <t>Net 60</t>
        </is>
      </c>
      <c r="E35" s="2" t="n">
        <v>46273</v>
      </c>
      <c r="F35" t="n">
        <v>-8</v>
      </c>
      <c r="G35" s="3" t="n">
        <v>2960</v>
      </c>
      <c r="H35" t="inlineStr">
        <is>
          <t>Current</t>
        </is>
      </c>
    </row>
    <row r="36">
      <c r="A36" t="inlineStr">
        <is>
          <t>Pacific Corrugated Box</t>
        </is>
      </c>
      <c r="B36" t="inlineStr">
        <is>
          <t>PCB-20717</t>
        </is>
      </c>
      <c r="C36" s="2" t="n">
        <v>46239</v>
      </c>
      <c r="D36" t="inlineStr">
        <is>
          <t>Net 30</t>
        </is>
      </c>
      <c r="E36" s="2" t="n">
        <v>46269</v>
      </c>
      <c r="F36" t="n">
        <v>-4</v>
      </c>
      <c r="G36" s="3" t="n">
        <v>1879.24</v>
      </c>
      <c r="H36" t="inlineStr">
        <is>
          <t>Current</t>
        </is>
      </c>
    </row>
    <row r="37">
      <c r="A37" t="inlineStr">
        <is>
          <t>Pacific Corrugated Box</t>
        </is>
      </c>
      <c r="B37" t="inlineStr">
        <is>
          <t>PCB-20624</t>
        </is>
      </c>
      <c r="C37" s="2" t="n">
        <v>46263</v>
      </c>
      <c r="D37" t="inlineStr">
        <is>
          <t>Net 30</t>
        </is>
      </c>
      <c r="E37" s="2" t="n">
        <v>46293</v>
      </c>
      <c r="F37" t="n">
        <v>-28</v>
      </c>
      <c r="G37" s="3" t="n">
        <v>1077.35</v>
      </c>
      <c r="H37" t="inlineStr">
        <is>
          <t>Current</t>
        </is>
      </c>
    </row>
    <row r="38">
      <c r="A38" t="inlineStr">
        <is>
          <t>Summit Gas &amp; Welding Supply</t>
        </is>
      </c>
      <c r="B38" t="inlineStr">
        <is>
          <t>SGW-20249</t>
        </is>
      </c>
      <c r="C38" s="2" t="n">
        <v>46166</v>
      </c>
      <c r="D38" t="inlineStr">
        <is>
          <t>Net 30</t>
        </is>
      </c>
      <c r="E38" s="2" t="n">
        <v>46196</v>
      </c>
      <c r="F38" t="n">
        <v>69</v>
      </c>
      <c r="G38" s="3" t="n">
        <v>613.45</v>
      </c>
      <c r="H38" t="inlineStr">
        <is>
          <t>61-90</t>
        </is>
      </c>
    </row>
    <row r="39">
      <c r="A39" t="inlineStr">
        <is>
          <t>Summit Gas &amp; Welding Supply</t>
        </is>
      </c>
      <c r="B39" t="inlineStr">
        <is>
          <t>SGW-20179</t>
        </is>
      </c>
      <c r="C39" s="2" t="n">
        <v>46231</v>
      </c>
      <c r="D39" t="inlineStr">
        <is>
          <t>Net 30</t>
        </is>
      </c>
      <c r="E39" s="2" t="n">
        <v>46261</v>
      </c>
      <c r="F39" t="n">
        <v>4</v>
      </c>
      <c r="G39" s="3" t="n">
        <v>310.37</v>
      </c>
      <c r="H39" t="inlineStr">
        <is>
          <t>1-30</t>
        </is>
      </c>
    </row>
    <row r="40">
      <c r="A40" t="inlineStr">
        <is>
          <t>Summit Gas &amp; Welding Supply</t>
        </is>
      </c>
      <c r="B40" t="inlineStr">
        <is>
          <t>SGW-20216</t>
        </is>
      </c>
      <c r="C40" s="2" t="n">
        <v>46235</v>
      </c>
      <c r="D40" t="inlineStr">
        <is>
          <t>Net 30</t>
        </is>
      </c>
      <c r="E40" s="2" t="n">
        <v>46265</v>
      </c>
      <c r="F40" t="n">
        <v>0</v>
      </c>
      <c r="G40" s="3" t="n">
        <v>339.16</v>
      </c>
      <c r="H40" t="inlineStr">
        <is>
          <t>Current</t>
        </is>
      </c>
    </row>
    <row r="41">
      <c r="A41" t="inlineStr">
        <is>
          <t>Summit Gas &amp; Welding Supply</t>
        </is>
      </c>
      <c r="B41" t="inlineStr">
        <is>
          <t>SGW-20202</t>
        </is>
      </c>
      <c r="C41" s="2" t="n">
        <v>46237</v>
      </c>
      <c r="D41" t="inlineStr">
        <is>
          <t>Net 30</t>
        </is>
      </c>
      <c r="E41" s="2" t="n">
        <v>46267</v>
      </c>
      <c r="F41" t="n">
        <v>-2</v>
      </c>
      <c r="G41" s="3" t="n">
        <v>186.43</v>
      </c>
      <c r="H41" t="inlineStr">
        <is>
          <t>Current</t>
        </is>
      </c>
    </row>
    <row r="42">
      <c r="A42" t="inlineStr">
        <is>
          <t>Summit Gas &amp; Welding Supply</t>
        </is>
      </c>
      <c r="B42" t="inlineStr">
        <is>
          <t>VC-1194</t>
        </is>
      </c>
      <c r="C42" s="2" t="n">
        <v>46248</v>
      </c>
      <c r="D42" t="inlineStr">
        <is>
          <t>credit</t>
        </is>
      </c>
      <c r="G42" s="3" t="n">
        <v>-212.5</v>
      </c>
      <c r="H4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