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rn" sheetId="1" state="visible" r:id="rId1"/>
    <sheet name="POs" sheetId="2" state="visible" r:id="rId2"/>
    <sheet name="Invoices" sheetId="3" state="visible" r:id="rId3"/>
    <sheet name="Change 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Cost code</t>
        </is>
      </c>
      <c r="B1" s="1" t="inlineStr">
        <is>
          <t>Description</t>
        </is>
      </c>
      <c r="C1" s="1" t="inlineStr">
        <is>
          <t>Budget</t>
        </is>
      </c>
      <c r="D1" s="1" t="inlineStr">
        <is>
          <t>Spent</t>
        </is>
      </c>
      <c r="E1" s="1" t="inlineStr">
        <is>
          <t>Committed</t>
        </is>
      </c>
      <c r="F1" s="1" t="inlineStr">
        <is>
          <t>Remaining</t>
        </is>
      </c>
    </row>
    <row r="2">
      <c r="A2" t="inlineStr">
        <is>
          <t>WG-01</t>
        </is>
      </c>
      <c r="B2" t="inlineStr">
        <is>
          <t>General conditions</t>
        </is>
      </c>
      <c r="C2" s="2" t="n">
        <v>119000</v>
      </c>
      <c r="D2">
        <f>SUMIFS(Invoices!$F$2:$F$31,Invoices!$E$2:$E$31,A2,Invoices!$G$2:$G$31,"Posted")</f>
        <v/>
      </c>
      <c r="E2">
        <f>SUMIFS(POs!$I$2:$I$10,POs!$C$2:$C$10,A2)</f>
        <v/>
      </c>
      <c r="F2">
        <f>C2-D2-E2</f>
        <v/>
      </c>
    </row>
    <row r="3">
      <c r="A3" t="inlineStr">
        <is>
          <t>WG-02</t>
        </is>
      </c>
      <c r="B3" t="inlineStr">
        <is>
          <t>Demolition and abatement</t>
        </is>
      </c>
      <c r="C3" s="2" t="n">
        <v>49000</v>
      </c>
      <c r="D3">
        <f>SUMIFS(Invoices!$F$2:$F$31,Invoices!$E$2:$E$31,A3,Invoices!$G$2:$G$31,"Posted")</f>
        <v/>
      </c>
      <c r="E3">
        <f>SUMIFS(POs!$I$2:$I$10,POs!$C$2:$C$10,A3)</f>
        <v/>
      </c>
      <c r="F3">
        <f>C3-D3-E3</f>
        <v/>
      </c>
    </row>
    <row r="4">
      <c r="A4" t="inlineStr">
        <is>
          <t>WG-03</t>
        </is>
      </c>
      <c r="B4" t="inlineStr">
        <is>
          <t>Electrical</t>
        </is>
      </c>
      <c r="C4" s="2" t="n">
        <v>125000</v>
      </c>
      <c r="D4">
        <f>SUMIFS(Invoices!$F$2:$F$31,Invoices!$E$2:$E$31,A4,Invoices!$G$2:$G$31,"Posted")</f>
        <v/>
      </c>
      <c r="E4">
        <f>SUMIFS(POs!$I$2:$I$10,POs!$C$2:$C$10,A4)</f>
        <v/>
      </c>
      <c r="F4">
        <f>C4-D4-E4</f>
        <v/>
      </c>
    </row>
    <row r="5">
      <c r="A5" t="inlineStr">
        <is>
          <t>WG-04</t>
        </is>
      </c>
      <c r="B5" t="inlineStr">
        <is>
          <t>HVAC</t>
        </is>
      </c>
      <c r="C5" s="2" t="n">
        <v>115000</v>
      </c>
      <c r="D5">
        <f>SUMIFS(Invoices!$F$2:$F$31,Invoices!$E$2:$E$31,A5,Invoices!$G$2:$G$31,"Posted")</f>
        <v/>
      </c>
      <c r="E5">
        <f>SUMIFS(POs!$I$2:$I$10,POs!$C$2:$C$10,A5)</f>
        <v/>
      </c>
      <c r="F5">
        <f>C5-D5-E5</f>
        <v/>
      </c>
    </row>
    <row r="6">
      <c r="A6" t="inlineStr">
        <is>
          <t>WG-05</t>
        </is>
      </c>
      <c r="B6" t="inlineStr">
        <is>
          <t>Exhibit fabrication</t>
        </is>
      </c>
      <c r="C6" s="2" t="n">
        <v>296000</v>
      </c>
      <c r="D6">
        <f>SUMIFS(Invoices!$F$2:$F$31,Invoices!$E$2:$E$31,A6,Invoices!$G$2:$G$31,"Posted")</f>
        <v/>
      </c>
      <c r="E6">
        <f>SUMIFS(POs!$I$2:$I$10,POs!$C$2:$C$10,A6)</f>
        <v/>
      </c>
      <c r="F6">
        <f>C6-D6-E6</f>
        <v/>
      </c>
    </row>
    <row r="7">
      <c r="A7" t="inlineStr">
        <is>
          <t>WG-06</t>
        </is>
      </c>
      <c r="B7" t="inlineStr">
        <is>
          <t>Gallery lighting</t>
        </is>
      </c>
      <c r="C7" s="2" t="n">
        <v>65000</v>
      </c>
      <c r="D7">
        <f>SUMIFS(Invoices!$F$2:$F$31,Invoices!$E$2:$E$31,A7,Invoices!$G$2:$G$31,"Posted")</f>
        <v/>
      </c>
      <c r="E7">
        <f>SUMIFS(POs!$I$2:$I$10,POs!$C$2:$C$10,A7)</f>
        <v/>
      </c>
      <c r="F7">
        <f>C7-D7-E7</f>
        <v/>
      </c>
    </row>
    <row r="8">
      <c r="A8" t="inlineStr">
        <is>
          <t>WG-07</t>
        </is>
      </c>
      <c r="B8" t="inlineStr">
        <is>
          <t>AV and interactive media</t>
        </is>
      </c>
      <c r="C8" s="2" t="n">
        <v>87000</v>
      </c>
      <c r="D8">
        <f>SUMIFS(Invoices!$F$2:$F$31,Invoices!$E$2:$E$31,A8,Invoices!$G$2:$G$31,"Posted")</f>
        <v/>
      </c>
      <c r="E8">
        <f>SUMIFS(POs!$I$2:$I$10,POs!$C$2:$C$10,A8)</f>
        <v/>
      </c>
      <c r="F8">
        <f>C8-D8-E8</f>
        <v/>
      </c>
    </row>
    <row r="9">
      <c r="A9" t="inlineStr">
        <is>
          <t>WG-08</t>
        </is>
      </c>
      <c r="B9" t="inlineStr">
        <is>
          <t>Design and engineering fees</t>
        </is>
      </c>
      <c r="C9" s="2" t="n">
        <v>98000</v>
      </c>
      <c r="D9">
        <f>SUMIFS(Invoices!$F$2:$F$31,Invoices!$E$2:$E$31,A9,Invoices!$G$2:$G$31,"Posted")</f>
        <v/>
      </c>
      <c r="E9">
        <f>SUMIFS(POs!$I$2:$I$10,POs!$C$2:$C$10,A9)</f>
        <v/>
      </c>
      <c r="F9">
        <f>C9-D9-E9</f>
        <v/>
      </c>
    </row>
    <row r="10">
      <c r="A10" t="inlineStr">
        <is>
          <t>WG-09</t>
        </is>
      </c>
      <c r="B10" t="inlineStr">
        <is>
          <t>Permits and inspections</t>
        </is>
      </c>
      <c r="C10" s="2" t="n">
        <v>7500</v>
      </c>
      <c r="D10">
        <f>SUMIFS(Invoices!$F$2:$F$31,Invoices!$E$2:$E$31,A10,Invoices!$G$2:$G$31,"Posted")</f>
        <v/>
      </c>
      <c r="E10">
        <f>SUMIFS(POs!$I$2:$I$10,POs!$C$2:$C$10,A10)</f>
        <v/>
      </c>
      <c r="F10">
        <f>C10-D10-E10</f>
        <v/>
      </c>
    </row>
    <row r="11">
      <c r="A11" t="inlineStr">
        <is>
          <t>WG-10</t>
        </is>
      </c>
      <c r="B11" t="inlineStr">
        <is>
          <t>Owner contingency</t>
        </is>
      </c>
      <c r="C11" s="2" t="n">
        <v>65000</v>
      </c>
      <c r="D11">
        <f>SUMIFS(Invoices!$F$2:$F$31,Invoices!$E$2:$E$31,A11,Invoices!$G$2:$G$31,"Posted")</f>
        <v/>
      </c>
      <c r="E11">
        <f>SUMIFS(POs!$I$2:$I$10,POs!$C$2:$C$10,A11)</f>
        <v/>
      </c>
      <c r="F11">
        <f>C11-D11-E11</f>
        <v/>
      </c>
    </row>
    <row r="12">
      <c r="B12" t="inlineStr">
        <is>
          <t>Total</t>
        </is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0" customWidth="1" min="2" max="2"/>
    <col width="40" customWidth="1" min="4" max="4"/>
  </cols>
  <sheetData>
    <row r="1">
      <c r="A1" s="1" t="inlineStr">
        <is>
          <t>PO</t>
        </is>
      </c>
      <c r="B1" s="1" t="inlineStr">
        <is>
          <t>Vendor</t>
        </is>
      </c>
      <c r="C1" s="1" t="inlineStr">
        <is>
          <t>Cost code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Original amount</t>
        </is>
      </c>
      <c r="G1" s="1" t="inlineStr">
        <is>
          <t>Approved change orders</t>
        </is>
      </c>
      <c r="H1" s="1" t="inlineStr">
        <is>
          <t>Invoiced</t>
        </is>
      </c>
      <c r="I1" s="1" t="inlineStr">
        <is>
          <t>Still committed</t>
        </is>
      </c>
    </row>
    <row r="2">
      <c r="A2" t="inlineStr">
        <is>
          <t>PO-2026-015</t>
        </is>
      </c>
      <c r="B2" t="inlineStr">
        <is>
          <t>Harbor &amp; Finch Builders</t>
        </is>
      </c>
      <c r="C2" t="inlineStr">
        <is>
          <t>WG-01</t>
        </is>
      </c>
      <c r="D2" t="inlineStr">
        <is>
          <t>General contractor fee and site supervision</t>
        </is>
      </c>
      <c r="E2" t="inlineStr">
        <is>
          <t>Open</t>
        </is>
      </c>
      <c r="F2" t="n">
        <v>110500</v>
      </c>
      <c r="G2">
        <f>SUMIFS('Change orders'!$E$2:$E$6,'Change orders'!$B$2:$B$6,A2,'Change orders'!$F$2:$F$6,"Approved")</f>
        <v/>
      </c>
      <c r="H2">
        <f>SUMIFS(Invoices!$F$2:$F$31,Invoices!$D$2:$D$31,A2,Invoices!$G$2:$G$31,"Posted")</f>
        <v/>
      </c>
      <c r="I2">
        <f>IF(E2="Open",MAX(0,F2+G2-H2),0)</f>
        <v/>
      </c>
    </row>
    <row r="3">
      <c r="A3" t="inlineStr">
        <is>
          <t>PO-2026-017</t>
        </is>
      </c>
      <c r="B3" t="inlineStr">
        <is>
          <t>Coastline Demolition &amp; Abatement</t>
        </is>
      </c>
      <c r="C3" t="inlineStr">
        <is>
          <t>WG-02</t>
        </is>
      </c>
      <c r="D3" t="inlineStr">
        <is>
          <t>Selective demolition, lead paint abatement</t>
        </is>
      </c>
      <c r="E3" t="inlineStr">
        <is>
          <t>Closed</t>
        </is>
      </c>
      <c r="F3" t="n">
        <v>42500</v>
      </c>
      <c r="G3">
        <f>SUMIFS('Change orders'!$E$2:$E$6,'Change orders'!$B$2:$B$6,A3,'Change orders'!$F$2:$F$6,"Approved")</f>
        <v/>
      </c>
      <c r="H3">
        <f>SUMIFS(Invoices!$F$2:$F$31,Invoices!$D$2:$D$31,A3,Invoices!$G$2:$G$31,"Posted")</f>
        <v/>
      </c>
      <c r="I3">
        <f>IF(E3="Open",MAX(0,F3+G3-H3),0)</f>
        <v/>
      </c>
    </row>
    <row r="4">
      <c r="A4" t="inlineStr">
        <is>
          <t>PO-2026-018</t>
        </is>
      </c>
      <c r="B4" t="inlineStr">
        <is>
          <t>Brightwire Electrical Contractors</t>
        </is>
      </c>
      <c r="C4" t="inlineStr">
        <is>
          <t>WG-03</t>
        </is>
      </c>
      <c r="D4" t="inlineStr">
        <is>
          <t>Branch circuits, panel upgrade, exhibit power</t>
        </is>
      </c>
      <c r="E4" t="inlineStr">
        <is>
          <t>Closed</t>
        </is>
      </c>
      <c r="F4" t="n">
        <v>102000</v>
      </c>
      <c r="G4">
        <f>SUMIFS('Change orders'!$E$2:$E$6,'Change orders'!$B$2:$B$6,A4,'Change orders'!$F$2:$F$6,"Approved")</f>
        <v/>
      </c>
      <c r="H4">
        <f>SUMIFS(Invoices!$F$2:$F$31,Invoices!$D$2:$D$31,A4,Invoices!$G$2:$G$31,"Posted")</f>
        <v/>
      </c>
      <c r="I4">
        <f>IF(E4="Open",MAX(0,F4+G4-H4),0)</f>
        <v/>
      </c>
    </row>
    <row r="5">
      <c r="A5" t="inlineStr">
        <is>
          <t>PO-2026-021</t>
        </is>
      </c>
      <c r="B5" t="inlineStr">
        <is>
          <t>Brightwire Electrical Contractors</t>
        </is>
      </c>
      <c r="C5" t="inlineStr">
        <is>
          <t>WG-03</t>
        </is>
      </c>
      <c r="D5" t="inlineStr">
        <is>
          <t>Exhibit case outlets (added scope)</t>
        </is>
      </c>
      <c r="E5" t="inlineStr">
        <is>
          <t>Open</t>
        </is>
      </c>
      <c r="F5" t="n">
        <v>7600</v>
      </c>
      <c r="G5">
        <f>SUMIFS('Change orders'!$E$2:$E$6,'Change orders'!$B$2:$B$6,A5,'Change orders'!$F$2:$F$6,"Approved")</f>
        <v/>
      </c>
      <c r="H5">
        <f>SUMIFS(Invoices!$F$2:$F$31,Invoices!$D$2:$D$31,A5,Invoices!$G$2:$G$31,"Posted")</f>
        <v/>
      </c>
      <c r="I5">
        <f>IF(E5="Open",MAX(0,F5+G5-H5),0)</f>
        <v/>
      </c>
    </row>
    <row r="6">
      <c r="A6" t="inlineStr">
        <is>
          <t>PO-2026-024</t>
        </is>
      </c>
      <c r="B6" t="inlineStr">
        <is>
          <t>Seaboard Mechanical</t>
        </is>
      </c>
      <c r="C6" t="inlineStr">
        <is>
          <t>WG-04</t>
        </is>
      </c>
      <c r="D6" t="inlineStr">
        <is>
          <t>Gallery HVAC with humidity control</t>
        </is>
      </c>
      <c r="E6" t="inlineStr">
        <is>
          <t>Open</t>
        </is>
      </c>
      <c r="F6" t="n">
        <v>87000</v>
      </c>
      <c r="G6">
        <f>SUMIFS('Change orders'!$E$2:$E$6,'Change orders'!$B$2:$B$6,A6,'Change orders'!$F$2:$F$6,"Approved")</f>
        <v/>
      </c>
      <c r="H6">
        <f>SUMIFS(Invoices!$F$2:$F$31,Invoices!$D$2:$D$31,A6,Invoices!$G$2:$G$31,"Posted")</f>
        <v/>
      </c>
      <c r="I6">
        <f>IF(E6="Open",MAX(0,F6+G6-H6),0)</f>
        <v/>
      </c>
    </row>
    <row r="7">
      <c r="A7" t="inlineStr">
        <is>
          <t>PO-2026-025</t>
        </is>
      </c>
      <c r="B7" t="inlineStr">
        <is>
          <t>Keelhaul Exhibit Studio</t>
        </is>
      </c>
      <c r="C7" t="inlineStr">
        <is>
          <t>WG-05</t>
        </is>
      </c>
      <c r="D7" t="inlineStr">
        <is>
          <t>Exhibit fabrication and installation</t>
        </is>
      </c>
      <c r="E7" t="inlineStr">
        <is>
          <t>Open</t>
        </is>
      </c>
      <c r="F7" t="n">
        <v>213000</v>
      </c>
      <c r="G7">
        <f>SUMIFS('Change orders'!$E$2:$E$6,'Change orders'!$B$2:$B$6,A7,'Change orders'!$F$2:$F$6,"Approved")</f>
        <v/>
      </c>
      <c r="H7">
        <f>SUMIFS(Invoices!$F$2:$F$31,Invoices!$D$2:$D$31,A7,Invoices!$G$2:$G$31,"Posted")</f>
        <v/>
      </c>
      <c r="I7">
        <f>IF(E7="Open",MAX(0,F7+G7-H7),0)</f>
        <v/>
      </c>
    </row>
    <row r="8">
      <c r="A8" t="inlineStr">
        <is>
          <t>PO-2026-028</t>
        </is>
      </c>
      <c r="B8" t="inlineStr">
        <is>
          <t>Lumenharbor Lighting</t>
        </is>
      </c>
      <c r="C8" t="inlineStr">
        <is>
          <t>WG-06</t>
        </is>
      </c>
      <c r="D8" t="inlineStr">
        <is>
          <t>Track lighting and fixtures</t>
        </is>
      </c>
      <c r="E8" t="inlineStr">
        <is>
          <t>Open</t>
        </is>
      </c>
      <c r="F8" t="n">
        <v>59250</v>
      </c>
      <c r="G8">
        <f>SUMIFS('Change orders'!$E$2:$E$6,'Change orders'!$B$2:$B$6,A8,'Change orders'!$F$2:$F$6,"Approved")</f>
        <v/>
      </c>
      <c r="H8">
        <f>SUMIFS(Invoices!$F$2:$F$31,Invoices!$D$2:$D$31,A8,Invoices!$G$2:$G$31,"Posted")</f>
        <v/>
      </c>
      <c r="I8">
        <f>IF(E8="Open",MAX(0,F8+G8-H8),0)</f>
        <v/>
      </c>
    </row>
    <row r="9">
      <c r="A9" t="inlineStr">
        <is>
          <t>PO-2026-030</t>
        </is>
      </c>
      <c r="B9" t="inlineStr">
        <is>
          <t>Signal &amp; Tide Media</t>
        </is>
      </c>
      <c r="C9" t="inlineStr">
        <is>
          <t>WG-07</t>
        </is>
      </c>
      <c r="D9" t="inlineStr">
        <is>
          <t>Projection and touchscreen interactives</t>
        </is>
      </c>
      <c r="E9" t="inlineStr">
        <is>
          <t>Open</t>
        </is>
      </c>
      <c r="F9" t="n">
        <v>74000</v>
      </c>
      <c r="G9">
        <f>SUMIFS('Change orders'!$E$2:$E$6,'Change orders'!$B$2:$B$6,A9,'Change orders'!$F$2:$F$6,"Approved")</f>
        <v/>
      </c>
      <c r="H9">
        <f>SUMIFS(Invoices!$F$2:$F$31,Invoices!$D$2:$D$31,A9,Invoices!$G$2:$G$31,"Posted")</f>
        <v/>
      </c>
      <c r="I9">
        <f>IF(E9="Open",MAX(0,F9+G9-H9),0)</f>
        <v/>
      </c>
    </row>
    <row r="10">
      <c r="A10" t="inlineStr">
        <is>
          <t>PO-2026-031</t>
        </is>
      </c>
      <c r="B10" t="inlineStr">
        <is>
          <t>Northbeam AV Integration</t>
        </is>
      </c>
      <c r="C10" t="inlineStr">
        <is>
          <t>WG-07</t>
        </is>
      </c>
      <c r="D10" t="inlineStr">
        <is>
          <t>Projection package (vendor replaced)</t>
        </is>
      </c>
      <c r="E10" t="inlineStr">
        <is>
          <t>Cancelled</t>
        </is>
      </c>
      <c r="F10" t="n">
        <v>57500</v>
      </c>
      <c r="G10">
        <f>SUMIFS('Change orders'!$E$2:$E$6,'Change orders'!$B$2:$B$6,A10,'Change orders'!$F$2:$F$6,"Approved")</f>
        <v/>
      </c>
      <c r="H10">
        <f>SUMIFS(Invoices!$F$2:$F$31,Invoices!$D$2:$D$31,A10,Invoices!$G$2:$G$31,"Posted")</f>
        <v/>
      </c>
      <c r="I10">
        <f>IF(E10="Open",MAX(0,F10+G10-H10),0)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Invoice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Cost code</t>
        </is>
      </c>
      <c r="F1" s="1" t="inlineStr">
        <is>
          <t>Amount</t>
        </is>
      </c>
      <c r="G1" s="1" t="inlineStr">
        <is>
          <t>Status</t>
        </is>
      </c>
    </row>
    <row r="2">
      <c r="A2" t="inlineStr">
        <is>
          <t>HF-9376</t>
        </is>
      </c>
      <c r="B2" t="inlineStr">
        <is>
          <t>Harbor &amp; Finch Builders</t>
        </is>
      </c>
      <c r="C2" t="inlineStr">
        <is>
          <t>2026-02-27</t>
        </is>
      </c>
      <c r="D2" t="inlineStr">
        <is>
          <t>PO-2026-015</t>
        </is>
      </c>
      <c r="E2" t="inlineStr">
        <is>
          <t>WG-01</t>
        </is>
      </c>
      <c r="F2" t="n">
        <v>11050</v>
      </c>
      <c r="G2" t="inlineStr">
        <is>
          <t>Posted</t>
        </is>
      </c>
    </row>
    <row r="3">
      <c r="A3" t="inlineStr">
        <is>
          <t>HF-7634</t>
        </is>
      </c>
      <c r="B3" t="inlineStr">
        <is>
          <t>Harbor &amp; Finch Builders</t>
        </is>
      </c>
      <c r="C3" t="inlineStr">
        <is>
          <t>2026-03-28</t>
        </is>
      </c>
      <c r="D3" t="inlineStr">
        <is>
          <t>PO-2026-015</t>
        </is>
      </c>
      <c r="E3" t="inlineStr">
        <is>
          <t>WG-01</t>
        </is>
      </c>
      <c r="F3" t="n">
        <v>11050</v>
      </c>
      <c r="G3" t="inlineStr">
        <is>
          <t>Posted</t>
        </is>
      </c>
    </row>
    <row r="4">
      <c r="A4" t="inlineStr">
        <is>
          <t>HF-8808</t>
        </is>
      </c>
      <c r="B4" t="inlineStr">
        <is>
          <t>Harbor &amp; Finch Builders</t>
        </is>
      </c>
      <c r="C4" t="inlineStr">
        <is>
          <t>2026-04-27</t>
        </is>
      </c>
      <c r="D4" t="inlineStr">
        <is>
          <t>PO-2026-015</t>
        </is>
      </c>
      <c r="E4" t="inlineStr">
        <is>
          <t>WG-01</t>
        </is>
      </c>
      <c r="F4" t="n">
        <v>11050</v>
      </c>
      <c r="G4" t="inlineStr">
        <is>
          <t>Posted</t>
        </is>
      </c>
    </row>
    <row r="5">
      <c r="A5" t="inlineStr">
        <is>
          <t>HF-4578</t>
        </is>
      </c>
      <c r="B5" t="inlineStr">
        <is>
          <t>Harbor &amp; Finch Builders</t>
        </is>
      </c>
      <c r="C5" t="inlineStr">
        <is>
          <t>2026-05-27</t>
        </is>
      </c>
      <c r="D5" t="inlineStr">
        <is>
          <t>PO-2026-015</t>
        </is>
      </c>
      <c r="E5" t="inlineStr">
        <is>
          <t>WG-01</t>
        </is>
      </c>
      <c r="F5" t="n">
        <v>11050</v>
      </c>
      <c r="G5" t="inlineStr">
        <is>
          <t>Posted</t>
        </is>
      </c>
    </row>
    <row r="6">
      <c r="A6" t="inlineStr">
        <is>
          <t>HF-5617</t>
        </is>
      </c>
      <c r="B6" t="inlineStr">
        <is>
          <t>Harbor &amp; Finch Builders</t>
        </is>
      </c>
      <c r="C6" t="inlineStr">
        <is>
          <t>2026-06-26</t>
        </is>
      </c>
      <c r="D6" t="inlineStr">
        <is>
          <t>PO-2026-015</t>
        </is>
      </c>
      <c r="E6" t="inlineStr">
        <is>
          <t>WG-01</t>
        </is>
      </c>
      <c r="F6" t="n">
        <v>11050</v>
      </c>
      <c r="G6" t="inlineStr">
        <is>
          <t>Posted</t>
        </is>
      </c>
    </row>
    <row r="7">
      <c r="A7" t="inlineStr">
        <is>
          <t>HF-2553</t>
        </is>
      </c>
      <c r="B7" t="inlineStr">
        <is>
          <t>Harbor &amp; Finch Builders</t>
        </is>
      </c>
      <c r="C7" t="inlineStr">
        <is>
          <t>2026-07-26</t>
        </is>
      </c>
      <c r="D7" t="inlineStr">
        <is>
          <t>PO-2026-015</t>
        </is>
      </c>
      <c r="E7" t="inlineStr">
        <is>
          <t>WG-01</t>
        </is>
      </c>
      <c r="F7" t="n">
        <v>11050</v>
      </c>
      <c r="G7" t="inlineStr">
        <is>
          <t>Posted</t>
        </is>
      </c>
    </row>
    <row r="8">
      <c r="A8" t="inlineStr">
        <is>
          <t>HF-9725</t>
        </is>
      </c>
      <c r="B8" t="inlineStr">
        <is>
          <t>Harbor &amp; Finch Builders</t>
        </is>
      </c>
      <c r="C8" t="inlineStr">
        <is>
          <t>2026-08-27</t>
        </is>
      </c>
      <c r="D8" t="inlineStr">
        <is>
          <t>PO-2026-015</t>
        </is>
      </c>
      <c r="E8" t="inlineStr">
        <is>
          <t>WG-01</t>
        </is>
      </c>
      <c r="F8" t="n">
        <v>11050</v>
      </c>
      <c r="G8" t="inlineStr">
        <is>
          <t>Posted</t>
        </is>
      </c>
    </row>
    <row r="9">
      <c r="A9" t="inlineStr">
        <is>
          <t>CDA-2208</t>
        </is>
      </c>
      <c r="B9" t="inlineStr">
        <is>
          <t>Coastline Demolition &amp; Abatement</t>
        </is>
      </c>
      <c r="C9" t="inlineStr">
        <is>
          <t>2026-02-11</t>
        </is>
      </c>
      <c r="D9" t="inlineStr">
        <is>
          <t>PO-2026-017</t>
        </is>
      </c>
      <c r="E9" t="inlineStr">
        <is>
          <t>WG-02</t>
        </is>
      </c>
      <c r="F9" t="n">
        <v>25500</v>
      </c>
      <c r="G9" t="inlineStr">
        <is>
          <t>Posted</t>
        </is>
      </c>
    </row>
    <row r="10">
      <c r="A10" t="inlineStr">
        <is>
          <t>CDA-6409</t>
        </is>
      </c>
      <c r="B10" t="inlineStr">
        <is>
          <t>Coastline Demolition &amp; Abatement</t>
        </is>
      </c>
      <c r="C10" t="inlineStr">
        <is>
          <t>2026-03-15</t>
        </is>
      </c>
      <c r="D10" t="inlineStr">
        <is>
          <t>PO-2026-017</t>
        </is>
      </c>
      <c r="E10" t="inlineStr">
        <is>
          <t>WG-02</t>
        </is>
      </c>
      <c r="F10" t="n">
        <v>17000</v>
      </c>
      <c r="G10" t="inlineStr">
        <is>
          <t>Posted</t>
        </is>
      </c>
    </row>
    <row r="11">
      <c r="A11" t="inlineStr">
        <is>
          <t>BW6180</t>
        </is>
      </c>
      <c r="B11" t="inlineStr">
        <is>
          <t>Brightwire Electrical Contractors</t>
        </is>
      </c>
      <c r="C11" t="inlineStr">
        <is>
          <t>2026-03-16</t>
        </is>
      </c>
      <c r="D11" t="inlineStr">
        <is>
          <t>PO-2026-018</t>
        </is>
      </c>
      <c r="E11" t="inlineStr">
        <is>
          <t>WG-03</t>
        </is>
      </c>
      <c r="F11" t="n">
        <v>35700</v>
      </c>
      <c r="G11" t="inlineStr">
        <is>
          <t>Posted</t>
        </is>
      </c>
    </row>
    <row r="12">
      <c r="A12" t="inlineStr">
        <is>
          <t>BW8815</t>
        </is>
      </c>
      <c r="B12" t="inlineStr">
        <is>
          <t>Brightwire Electrical Contractors</t>
        </is>
      </c>
      <c r="C12" t="inlineStr">
        <is>
          <t>2026-05-09</t>
        </is>
      </c>
      <c r="D12" t="inlineStr">
        <is>
          <t>PO-2026-018</t>
        </is>
      </c>
      <c r="E12" t="inlineStr">
        <is>
          <t>WG-03</t>
        </is>
      </c>
      <c r="F12" t="n">
        <v>40800</v>
      </c>
      <c r="G12" t="inlineStr">
        <is>
          <t>Posted</t>
        </is>
      </c>
    </row>
    <row r="13">
      <c r="A13" t="inlineStr">
        <is>
          <t>BW9541</t>
        </is>
      </c>
      <c r="B13" t="inlineStr">
        <is>
          <t>Brightwire Electrical Contractors</t>
        </is>
      </c>
      <c r="C13" t="inlineStr">
        <is>
          <t>2026-07-17</t>
        </is>
      </c>
      <c r="D13" t="inlineStr">
        <is>
          <t>PO-2026-018</t>
        </is>
      </c>
      <c r="E13" t="inlineStr">
        <is>
          <t>WG-03</t>
        </is>
      </c>
      <c r="F13" t="n">
        <v>19380</v>
      </c>
      <c r="G13" t="inlineStr">
        <is>
          <t>Posted</t>
        </is>
      </c>
    </row>
    <row r="14">
      <c r="A14" t="inlineStr">
        <is>
          <t>BW2528</t>
        </is>
      </c>
      <c r="B14" t="inlineStr">
        <is>
          <t>Brightwire Electrical Contractors</t>
        </is>
      </c>
      <c r="C14" t="inlineStr">
        <is>
          <t>2026-07-08</t>
        </is>
      </c>
      <c r="D14" t="inlineStr">
        <is>
          <t>PO-2026-021</t>
        </is>
      </c>
      <c r="E14" t="inlineStr">
        <is>
          <t>WG-03</t>
        </is>
      </c>
      <c r="F14" t="n">
        <v>3800</v>
      </c>
      <c r="G14" t="inlineStr">
        <is>
          <t>Posted</t>
        </is>
      </c>
    </row>
    <row r="15">
      <c r="A15" t="inlineStr">
        <is>
          <t>SM-6458</t>
        </is>
      </c>
      <c r="B15" t="inlineStr">
        <is>
          <t>Seaboard Mechanical</t>
        </is>
      </c>
      <c r="C15" t="inlineStr">
        <is>
          <t>2026-04-19</t>
        </is>
      </c>
      <c r="D15" t="inlineStr">
        <is>
          <t>PO-2026-024</t>
        </is>
      </c>
      <c r="E15" t="inlineStr">
        <is>
          <t>WG-04</t>
        </is>
      </c>
      <c r="F15" t="n">
        <v>26100</v>
      </c>
      <c r="G15" t="inlineStr">
        <is>
          <t>Posted</t>
        </is>
      </c>
    </row>
    <row r="16">
      <c r="A16" t="inlineStr">
        <is>
          <t>SM-6328</t>
        </is>
      </c>
      <c r="B16" t="inlineStr">
        <is>
          <t>Seaboard Mechanical</t>
        </is>
      </c>
      <c r="C16" t="inlineStr">
        <is>
          <t>2026-06-11</t>
        </is>
      </c>
      <c r="D16" t="inlineStr">
        <is>
          <t>PO-2026-024</t>
        </is>
      </c>
      <c r="E16" t="inlineStr">
        <is>
          <t>WG-04</t>
        </is>
      </c>
      <c r="F16" t="n">
        <v>39150</v>
      </c>
      <c r="G16" t="inlineStr">
        <is>
          <t>Posted</t>
        </is>
      </c>
    </row>
    <row r="17">
      <c r="A17" t="inlineStr">
        <is>
          <t>SM-4130</t>
        </is>
      </c>
      <c r="B17" t="inlineStr">
        <is>
          <t>Seaboard Mechanical</t>
        </is>
      </c>
      <c r="C17" t="inlineStr">
        <is>
          <t>2026-08-06</t>
        </is>
      </c>
      <c r="D17" t="inlineStr">
        <is>
          <t>PO-2026-024</t>
        </is>
      </c>
      <c r="E17" t="inlineStr">
        <is>
          <t>WG-04</t>
        </is>
      </c>
      <c r="F17" t="n">
        <v>34000</v>
      </c>
      <c r="G17" t="inlineStr">
        <is>
          <t>Posted</t>
        </is>
      </c>
    </row>
    <row r="18">
      <c r="A18" t="inlineStr">
        <is>
          <t>KES-5769</t>
        </is>
      </c>
      <c r="B18" t="inlineStr">
        <is>
          <t>Keelhaul Exhibit Studio</t>
        </is>
      </c>
      <c r="C18" t="inlineStr">
        <is>
          <t>2026-05-19</t>
        </is>
      </c>
      <c r="D18" t="inlineStr">
        <is>
          <t>PO-2026-025</t>
        </is>
      </c>
      <c r="E18" t="inlineStr">
        <is>
          <t>WG-05</t>
        </is>
      </c>
      <c r="F18" t="n">
        <v>42600</v>
      </c>
      <c r="G18" t="inlineStr">
        <is>
          <t>Posted</t>
        </is>
      </c>
    </row>
    <row r="19">
      <c r="A19" t="inlineStr">
        <is>
          <t>KES-3044</t>
        </is>
      </c>
      <c r="B19" t="inlineStr">
        <is>
          <t>Keelhaul Exhibit Studio</t>
        </is>
      </c>
      <c r="C19" t="inlineStr">
        <is>
          <t>2026-06-24</t>
        </is>
      </c>
      <c r="D19" t="inlineStr">
        <is>
          <t>PO-2026-025</t>
        </is>
      </c>
      <c r="E19" t="inlineStr">
        <is>
          <t>WG-05</t>
        </is>
      </c>
      <c r="F19" t="n">
        <v>46860</v>
      </c>
      <c r="G19" t="inlineStr">
        <is>
          <t>Posted</t>
        </is>
      </c>
    </row>
    <row r="20">
      <c r="A20" t="inlineStr">
        <is>
          <t>KES-6451</t>
        </is>
      </c>
      <c r="B20" t="inlineStr">
        <is>
          <t>Keelhaul Exhibit Studio</t>
        </is>
      </c>
      <c r="C20" t="inlineStr">
        <is>
          <t>2026-08-19</t>
        </is>
      </c>
      <c r="D20" t="inlineStr">
        <is>
          <t>PO-2026-025</t>
        </is>
      </c>
      <c r="E20" t="inlineStr">
        <is>
          <t>WG-05</t>
        </is>
      </c>
      <c r="F20" t="n">
        <v>38340</v>
      </c>
      <c r="G20" t="inlineStr">
        <is>
          <t>Posted</t>
        </is>
      </c>
    </row>
    <row r="21">
      <c r="A21" t="inlineStr">
        <is>
          <t>LH5712</t>
        </is>
      </c>
      <c r="B21" t="inlineStr">
        <is>
          <t>Lumenharbor Lighting</t>
        </is>
      </c>
      <c r="C21" t="inlineStr">
        <is>
          <t>2026-06-11</t>
        </is>
      </c>
      <c r="D21" t="inlineStr">
        <is>
          <t>PO-2026-028</t>
        </is>
      </c>
      <c r="E21" t="inlineStr">
        <is>
          <t>WG-06</t>
        </is>
      </c>
      <c r="F21" t="n">
        <v>23700</v>
      </c>
      <c r="G21" t="inlineStr">
        <is>
          <t>Posted</t>
        </is>
      </c>
    </row>
    <row r="22">
      <c r="A22" t="inlineStr">
        <is>
          <t>LH2501</t>
        </is>
      </c>
      <c r="B22" t="inlineStr">
        <is>
          <t>Lumenharbor Lighting</t>
        </is>
      </c>
      <c r="C22" t="inlineStr">
        <is>
          <t>2026-06-15</t>
        </is>
      </c>
      <c r="D22" t="inlineStr">
        <is>
          <t>PO-2026-028</t>
        </is>
      </c>
      <c r="E22" t="inlineStr">
        <is>
          <t>WG-06</t>
        </is>
      </c>
      <c r="F22" t="n">
        <v>23700</v>
      </c>
      <c r="G22" t="inlineStr">
        <is>
          <t>Void</t>
        </is>
      </c>
    </row>
    <row r="23">
      <c r="A23" t="inlineStr">
        <is>
          <t>LH6194</t>
        </is>
      </c>
      <c r="B23" t="inlineStr">
        <is>
          <t>Lumenharbor Lighting</t>
        </is>
      </c>
      <c r="C23" t="inlineStr">
        <is>
          <t>2026-08-15</t>
        </is>
      </c>
      <c r="D23" t="inlineStr">
        <is>
          <t>PO-2026-028</t>
        </is>
      </c>
      <c r="E23" t="inlineStr">
        <is>
          <t>WG-06</t>
        </is>
      </c>
      <c r="F23" t="n">
        <v>14812.5</v>
      </c>
      <c r="G23" t="inlineStr">
        <is>
          <t>Posted</t>
        </is>
      </c>
    </row>
    <row r="24">
      <c r="A24" t="inlineStr">
        <is>
          <t>STM-8807</t>
        </is>
      </c>
      <c r="B24" t="inlineStr">
        <is>
          <t>Signal &amp; Tide Media</t>
        </is>
      </c>
      <c r="C24" t="inlineStr">
        <is>
          <t>2026-08-18</t>
        </is>
      </c>
      <c r="D24" t="inlineStr">
        <is>
          <t>PO-2026-030</t>
        </is>
      </c>
      <c r="E24" t="inlineStr">
        <is>
          <t>WG-07</t>
        </is>
      </c>
      <c r="F24" t="n">
        <v>4172.87</v>
      </c>
      <c r="G24" t="inlineStr">
        <is>
          <t>Posted</t>
        </is>
      </c>
    </row>
    <row r="25">
      <c r="A25" t="inlineStr">
        <is>
          <t>MPA-3133</t>
        </is>
      </c>
      <c r="B25" t="inlineStr">
        <is>
          <t>Marlow Pike Architects</t>
        </is>
      </c>
      <c r="C25" t="inlineStr">
        <is>
          <t>2026-02-11</t>
        </is>
      </c>
      <c r="E25" t="inlineStr">
        <is>
          <t>WG-08</t>
        </is>
      </c>
      <c r="F25" t="n">
        <v>7648.82</v>
      </c>
      <c r="G25" t="inlineStr">
        <is>
          <t>Posted</t>
        </is>
      </c>
    </row>
    <row r="26">
      <c r="A26" t="inlineStr">
        <is>
          <t>MPA-2314</t>
        </is>
      </c>
      <c r="B26" t="inlineStr">
        <is>
          <t>Marlow Pike Architects</t>
        </is>
      </c>
      <c r="C26" t="inlineStr">
        <is>
          <t>2026-01-29</t>
        </is>
      </c>
      <c r="E26" t="inlineStr">
        <is>
          <t>WG-08</t>
        </is>
      </c>
      <c r="F26" t="n">
        <v>9336.290000000001</v>
      </c>
      <c r="G26" t="inlineStr">
        <is>
          <t>Posted</t>
        </is>
      </c>
    </row>
    <row r="27">
      <c r="A27" t="inlineStr">
        <is>
          <t>MPA-7410</t>
        </is>
      </c>
      <c r="B27" t="inlineStr">
        <is>
          <t>Marlow Pike Architects</t>
        </is>
      </c>
      <c r="C27" t="inlineStr">
        <is>
          <t>2026-07-13</t>
        </is>
      </c>
      <c r="E27" t="inlineStr">
        <is>
          <t>WG-08</t>
        </is>
      </c>
      <c r="F27" t="n">
        <v>17537.2</v>
      </c>
      <c r="G27" t="inlineStr">
        <is>
          <t>Posted</t>
        </is>
      </c>
    </row>
    <row r="28">
      <c r="A28" t="inlineStr">
        <is>
          <t>MPA-9549</t>
        </is>
      </c>
      <c r="B28" t="inlineStr">
        <is>
          <t>Marlow Pike Architects</t>
        </is>
      </c>
      <c r="C28" t="inlineStr">
        <is>
          <t>2026-03-31</t>
        </is>
      </c>
      <c r="E28" t="inlineStr">
        <is>
          <t>WG-08</t>
        </is>
      </c>
      <c r="F28" t="n">
        <v>17201.11</v>
      </c>
      <c r="G28" t="inlineStr">
        <is>
          <t>Posted</t>
        </is>
      </c>
    </row>
    <row r="29">
      <c r="A29" t="inlineStr">
        <is>
          <t>HSE-7871</t>
        </is>
      </c>
      <c r="B29" t="inlineStr">
        <is>
          <t>Holloway Structural Engineers</t>
        </is>
      </c>
      <c r="C29" t="inlineStr">
        <is>
          <t>2026-03-08</t>
        </is>
      </c>
      <c r="E29" t="inlineStr">
        <is>
          <t>WG-08</t>
        </is>
      </c>
      <c r="F29" t="n">
        <v>5034.7</v>
      </c>
      <c r="G29" t="inlineStr">
        <is>
          <t>Posted</t>
        </is>
      </c>
    </row>
    <row r="30">
      <c r="A30" t="inlineStr">
        <is>
          <t>BLD-9071</t>
        </is>
      </c>
      <c r="B30" t="inlineStr">
        <is>
          <t>City of Tidewater Permits</t>
        </is>
      </c>
      <c r="C30" t="inlineStr">
        <is>
          <t>2026-02-16</t>
        </is>
      </c>
      <c r="E30" t="inlineStr">
        <is>
          <t>WG-09</t>
        </is>
      </c>
      <c r="F30" t="n">
        <v>3542.89</v>
      </c>
      <c r="G30" t="inlineStr">
        <is>
          <t>Posted</t>
        </is>
      </c>
    </row>
    <row r="31">
      <c r="A31" t="inlineStr">
        <is>
          <t>INSP-6855</t>
        </is>
      </c>
      <c r="B31" t="inlineStr">
        <is>
          <t>City of Tidewater Permits</t>
        </is>
      </c>
      <c r="C31" t="inlineStr">
        <is>
          <t>2026-07-22</t>
        </is>
      </c>
      <c r="E31" t="inlineStr">
        <is>
          <t>WG-09</t>
        </is>
      </c>
      <c r="F31" t="n">
        <v>782.6900000000001</v>
      </c>
      <c r="G31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4" max="4"/>
  </cols>
  <sheetData>
    <row r="1">
      <c r="A1" s="1" t="inlineStr">
        <is>
          <t>CO</t>
        </is>
      </c>
      <c r="B1" s="1" t="inlineStr">
        <is>
          <t>PO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Status</t>
        </is>
      </c>
    </row>
    <row r="2">
      <c r="A2" t="inlineStr">
        <is>
          <t>CO-01</t>
        </is>
      </c>
      <c r="B2" t="inlineStr">
        <is>
          <t>PO-2026-024</t>
        </is>
      </c>
      <c r="C2" t="inlineStr">
        <is>
          <t>2026-06-03</t>
        </is>
      </c>
      <c r="D2" t="inlineStr">
        <is>
          <t>Added dehumidifier for ship-model cases</t>
        </is>
      </c>
      <c r="E2" t="n">
        <v>12250</v>
      </c>
      <c r="F2" t="inlineStr">
        <is>
          <t>Pending</t>
        </is>
      </c>
    </row>
    <row r="3">
      <c r="A3" t="inlineStr">
        <is>
          <t>CO-02</t>
        </is>
      </c>
      <c r="B3" t="inlineStr">
        <is>
          <t>PO-2026-025</t>
        </is>
      </c>
      <c r="C3" t="inlineStr">
        <is>
          <t>2026-05-06</t>
        </is>
      </c>
      <c r="D3" t="inlineStr">
        <is>
          <t>Interactive tide table build-out</t>
        </is>
      </c>
      <c r="E3" t="n">
        <v>26250</v>
      </c>
      <c r="F3" t="inlineStr">
        <is>
          <t>Approved</t>
        </is>
      </c>
    </row>
    <row r="4">
      <c r="A4" t="inlineStr">
        <is>
          <t>CO-03</t>
        </is>
      </c>
      <c r="B4" t="inlineStr">
        <is>
          <t>PO-2026-025</t>
        </is>
      </c>
      <c r="C4" t="inlineStr">
        <is>
          <t>2026-06-06</t>
        </is>
      </c>
      <c r="D4" t="inlineStr">
        <is>
          <t>Delete second graphics rail</t>
        </is>
      </c>
      <c r="E4" t="n">
        <v>-3500</v>
      </c>
      <c r="F4" t="inlineStr">
        <is>
          <t>Approved</t>
        </is>
      </c>
    </row>
    <row r="5">
      <c r="A5" t="inlineStr">
        <is>
          <t>CO-04</t>
        </is>
      </c>
      <c r="B5" t="inlineStr">
        <is>
          <t>PO-2026-025</t>
        </is>
      </c>
      <c r="C5" t="inlineStr">
        <is>
          <t>2026-07-21</t>
        </is>
      </c>
      <c r="D5" t="inlineStr">
        <is>
          <t>Replica figurehead upgrade</t>
        </is>
      </c>
      <c r="E5" t="n">
        <v>12000</v>
      </c>
      <c r="F5" t="inlineStr">
        <is>
          <t>Pending</t>
        </is>
      </c>
    </row>
    <row r="6">
      <c r="A6" t="inlineStr">
        <is>
          <t>CO-05</t>
        </is>
      </c>
      <c r="B6" t="inlineStr">
        <is>
          <t>PO-2026-025</t>
        </is>
      </c>
      <c r="C6" t="inlineStr">
        <is>
          <t>2026-06-20</t>
        </is>
      </c>
      <c r="D6" t="inlineStr">
        <is>
          <t>Walnut veneer in lieu of paint</t>
        </is>
      </c>
      <c r="E6" t="n">
        <v>4750</v>
      </c>
      <c r="F6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Tidewater Maritime Museum</dc:creator>
  <dcterms:created xsi:type="dcterms:W3CDTF">2026-01-15T09:00:00Z</dcterms:created>
  <dcterms:modified xsi:type="dcterms:W3CDTF">2026-01-15T09:00:00Z</dcterms:modified>
  <cp:lastModifiedBy>Tidewater Maritime Museum</cp:lastModifiedBy>
</cp:coreProperties>
</file>