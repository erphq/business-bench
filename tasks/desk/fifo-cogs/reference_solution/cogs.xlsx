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 by month" sheetId="1" state="visible" r:id="rId1"/>
    <sheet name="Inventory roll-for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Month</t>
        </is>
      </c>
      <c r="B1" s="1" t="inlineStr">
        <is>
          <t>DOG-SR25</t>
        </is>
      </c>
      <c r="C1" s="1" t="inlineStr">
        <is>
          <t>CAT-WF12</t>
        </is>
      </c>
      <c r="D1" s="1" t="inlineStr">
        <is>
          <t>LIT-CC35</t>
        </is>
      </c>
      <c r="E1" s="1" t="inlineStr">
        <is>
          <t>HAY-MT05</t>
        </is>
      </c>
      <c r="F1" s="1" t="inlineStr">
        <is>
          <t>TOY-TR-L</t>
        </is>
      </c>
      <c r="G1" s="1" t="inlineStr">
        <is>
          <t>OIL-SO16</t>
        </is>
      </c>
      <c r="H1" s="1" t="inlineStr">
        <is>
          <t>CHW-DC30</t>
        </is>
      </c>
      <c r="I1" s="1" t="inlineStr">
        <is>
          <t>Total COGS</t>
        </is>
      </c>
    </row>
    <row r="2">
      <c r="A2" t="inlineStr">
        <is>
          <t>2026-01</t>
        </is>
      </c>
      <c r="B2" s="2" t="n">
        <v>2048.7</v>
      </c>
      <c r="C2" s="2" t="n">
        <v>743.73</v>
      </c>
      <c r="D2" s="2" t="n">
        <v>561.03</v>
      </c>
      <c r="E2" s="2" t="n">
        <v>153.8</v>
      </c>
      <c r="F2" s="2" t="n">
        <v>91.44</v>
      </c>
      <c r="G2" s="2" t="n">
        <v>117.82</v>
      </c>
      <c r="H2" s="2" t="n">
        <v>227.23</v>
      </c>
      <c r="I2">
        <f>SUM(B2:H2)</f>
        <v/>
      </c>
    </row>
    <row r="3">
      <c r="A3" t="inlineStr">
        <is>
          <t>2026-02</t>
        </is>
      </c>
      <c r="B3" s="2" t="n">
        <v>2311.29</v>
      </c>
      <c r="C3" s="2" t="n">
        <v>674</v>
      </c>
      <c r="D3" s="2" t="n">
        <v>569.78</v>
      </c>
      <c r="E3" s="2" t="n">
        <v>170.44</v>
      </c>
      <c r="F3" s="2" t="n">
        <v>34.74</v>
      </c>
      <c r="G3" s="2" t="n">
        <v>171.9</v>
      </c>
      <c r="H3" s="2" t="n">
        <v>219.5</v>
      </c>
      <c r="I3">
        <f>SUM(B3:H3)</f>
        <v/>
      </c>
    </row>
    <row r="4">
      <c r="A4" t="inlineStr">
        <is>
          <t>2026-03</t>
        </is>
      </c>
      <c r="B4" s="2" t="n">
        <v>1379.92</v>
      </c>
      <c r="C4" s="2" t="n">
        <v>997.02</v>
      </c>
      <c r="D4" s="2" t="n">
        <v>578.08</v>
      </c>
      <c r="E4" s="2" t="n">
        <v>178.98</v>
      </c>
      <c r="F4" s="2" t="n">
        <v>42.46</v>
      </c>
      <c r="G4" s="2" t="n">
        <v>186.35</v>
      </c>
      <c r="H4" s="2" t="n">
        <v>237.52</v>
      </c>
      <c r="I4">
        <f>SUM(B4:H4)</f>
        <v/>
      </c>
    </row>
    <row r="5">
      <c r="A5" t="inlineStr">
        <is>
          <t>2026-04</t>
        </is>
      </c>
      <c r="B5" s="2" t="n">
        <v>1917.8</v>
      </c>
      <c r="C5" s="2" t="n">
        <v>738.15</v>
      </c>
      <c r="D5" s="2" t="n">
        <v>530.51</v>
      </c>
      <c r="E5" s="2" t="n">
        <v>198.88</v>
      </c>
      <c r="F5" s="2" t="n">
        <v>81.52</v>
      </c>
      <c r="G5" s="2" t="n">
        <v>139.71</v>
      </c>
      <c r="H5" s="2" t="n">
        <v>285.18</v>
      </c>
      <c r="I5">
        <f>SUM(B5:H5)</f>
        <v/>
      </c>
    </row>
    <row r="6">
      <c r="A6" t="inlineStr">
        <is>
          <t>2026-05</t>
        </is>
      </c>
      <c r="B6" s="2" t="n">
        <v>1132.68</v>
      </c>
      <c r="C6" s="2" t="n">
        <v>796.62</v>
      </c>
      <c r="D6" s="2" t="n">
        <v>485.82</v>
      </c>
      <c r="E6" s="2" t="n">
        <v>302.15</v>
      </c>
      <c r="F6" s="2" t="n">
        <v>94.22</v>
      </c>
      <c r="G6" s="2" t="n">
        <v>103.44</v>
      </c>
      <c r="H6" s="2" t="n">
        <v>522.72</v>
      </c>
      <c r="I6">
        <f>SUM(B6:H6)</f>
        <v/>
      </c>
    </row>
    <row r="7">
      <c r="A7" t="inlineStr">
        <is>
          <t>2026-06</t>
        </is>
      </c>
      <c r="B7" s="2" t="n">
        <v>2846.4</v>
      </c>
      <c r="C7" s="2" t="n">
        <v>908.9</v>
      </c>
      <c r="D7" s="2" t="n">
        <v>522.3200000000001</v>
      </c>
      <c r="E7" s="2" t="n">
        <v>267.03</v>
      </c>
      <c r="F7" s="2" t="n">
        <v>78.66</v>
      </c>
      <c r="G7" s="2" t="n">
        <v>119.79</v>
      </c>
      <c r="H7" s="2" t="n">
        <v>292.08</v>
      </c>
      <c r="I7">
        <f>SUM(B7:H7)</f>
        <v/>
      </c>
    </row>
    <row r="8">
      <c r="A8" t="inlineStr">
        <is>
          <t>Total Jan-Jun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  <c r="I8">
        <f>SUM(I2:I7)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16" customWidth="1" min="6" max="6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Opening FIFO value 2026-01-01</t>
        </is>
      </c>
      <c r="D1" s="1" t="inlineStr">
        <is>
          <t>Received Jan-Jun</t>
        </is>
      </c>
      <c r="E1" s="1" t="inlineStr">
        <is>
          <t>COGS Jan-Jun</t>
        </is>
      </c>
      <c r="F1" s="1" t="inlineStr">
        <is>
          <t>On hand value 2026-06-30</t>
        </is>
      </c>
      <c r="G1" s="1" t="inlineStr">
        <is>
          <t>Units on hand 2026-06-30</t>
        </is>
      </c>
    </row>
    <row r="2">
      <c r="A2" t="inlineStr">
        <is>
          <t>DOG-SR25</t>
        </is>
      </c>
      <c r="B2" t="inlineStr">
        <is>
          <t>Summit Ridge grain-free dog food 25 lb</t>
        </is>
      </c>
      <c r="C2" s="2" t="n">
        <v>589.77</v>
      </c>
      <c r="D2" s="2" t="n">
        <v>12103.74</v>
      </c>
      <c r="E2">
        <f>'COGS by month'!B8</f>
        <v/>
      </c>
      <c r="F2">
        <f>C2+D2-E2</f>
        <v/>
      </c>
      <c r="G2" t="n">
        <v>21</v>
      </c>
    </row>
    <row r="3">
      <c r="A3" t="inlineStr">
        <is>
          <t>CAT-WF12</t>
        </is>
      </c>
      <c r="B3" t="inlineStr">
        <is>
          <t>Whisker Farm indoor cat food 12 lb</t>
        </is>
      </c>
      <c r="C3" s="2" t="n">
        <v>635.1799999999999</v>
      </c>
      <c r="D3" s="2" t="n">
        <v>5177.9</v>
      </c>
      <c r="E3">
        <f>'COGS by month'!C8</f>
        <v/>
      </c>
      <c r="F3">
        <f>C3+D3-E3</f>
        <v/>
      </c>
      <c r="G3" t="n">
        <v>39</v>
      </c>
    </row>
    <row r="4">
      <c r="A4" t="inlineStr">
        <is>
          <t>LIT-CC35</t>
        </is>
      </c>
      <c r="B4" t="inlineStr">
        <is>
          <t>Clumping clay litter 35 lb</t>
        </is>
      </c>
      <c r="C4" s="2" t="n">
        <v>252.78</v>
      </c>
      <c r="D4" s="2" t="n">
        <v>3201.76</v>
      </c>
      <c r="E4">
        <f>'COGS by month'!D8</f>
        <v/>
      </c>
      <c r="F4">
        <f>C4+D4-E4</f>
        <v/>
      </c>
      <c r="G4" t="n">
        <v>15</v>
      </c>
    </row>
    <row r="5">
      <c r="A5" t="inlineStr">
        <is>
          <t>HAY-MT05</t>
        </is>
      </c>
      <c r="B5" t="inlineStr">
        <is>
          <t>Meadow timothy hay 5 lb</t>
        </is>
      </c>
      <c r="C5" s="2" t="n">
        <v>178.7</v>
      </c>
      <c r="D5" s="2" t="n">
        <v>1371.04</v>
      </c>
      <c r="E5">
        <f>'COGS by month'!E8</f>
        <v/>
      </c>
      <c r="F5">
        <f>C5+D5-E5</f>
        <v/>
      </c>
      <c r="G5" t="n">
        <v>26</v>
      </c>
    </row>
    <row r="6">
      <c r="A6" t="inlineStr">
        <is>
          <t>TOY-TR-L</t>
        </is>
      </c>
      <c r="B6" t="inlineStr">
        <is>
          <t>TuffRope tug toy, large</t>
        </is>
      </c>
      <c r="C6" s="2" t="n">
        <v>184.08</v>
      </c>
      <c r="D6" s="2" t="n">
        <v>586.3200000000001</v>
      </c>
      <c r="E6">
        <f>'COGS by month'!F8</f>
        <v/>
      </c>
      <c r="F6">
        <f>C6+D6-E6</f>
        <v/>
      </c>
      <c r="G6" t="n">
        <v>76</v>
      </c>
    </row>
    <row r="7">
      <c r="A7" t="inlineStr">
        <is>
          <t>OIL-SO16</t>
        </is>
      </c>
      <c r="B7" t="inlineStr">
        <is>
          <t>Wild salmon oil 16 oz</t>
        </is>
      </c>
      <c r="C7" s="2" t="n">
        <v>193.56</v>
      </c>
      <c r="D7" s="2" t="n">
        <v>685.38</v>
      </c>
      <c r="E7">
        <f>'COGS by month'!G8</f>
        <v/>
      </c>
      <c r="F7">
        <f>C7+D7-E7</f>
        <v/>
      </c>
      <c r="G7" t="n">
        <v>3</v>
      </c>
    </row>
    <row r="8">
      <c r="A8" t="inlineStr">
        <is>
          <t>CHW-DC30</t>
        </is>
      </c>
      <c r="B8" t="inlineStr">
        <is>
          <t>Dental chews, 30 count</t>
        </is>
      </c>
      <c r="C8" s="2" t="n">
        <v>254.07</v>
      </c>
      <c r="D8" s="2" t="n">
        <v>2241.78</v>
      </c>
      <c r="E8">
        <f>'COGS by month'!H8</f>
        <v/>
      </c>
      <c r="F8">
        <f>C8+D8-E8</f>
        <v/>
      </c>
      <c r="G8" t="n">
        <v>42</v>
      </c>
    </row>
    <row r="9">
      <c r="A9" t="inlineStr">
        <is>
          <t>Total</t>
        </is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Barkwell</dc:creator>
  <dcterms:created xsi:type="dcterms:W3CDTF">2026-01-15T09:00:00Z</dcterms:created>
  <dcterms:modified xsi:type="dcterms:W3CDTF">2026-01-15T09:00:00Z</dcterms:modified>
  <cp:lastModifiedBy>Barkwell</cp:lastModifiedBy>
</cp:coreProperties>
</file>