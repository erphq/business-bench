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0" customWidth="1" min="4" max="4"/>
  </cols>
  <sheetData>
    <row r="1">
      <c r="A1" s="1" t="inlineStr">
        <is>
          <t>Department</t>
        </is>
      </c>
      <c r="B1" s="1" t="inlineStr">
        <is>
          <t>Items</t>
        </is>
      </c>
      <c r="C1" s="1" t="inlineStr">
        <is>
          <t>Units valued</t>
        </is>
      </c>
      <c r="D1" s="1" t="inlineStr">
        <is>
          <t>Value at cost</t>
        </is>
      </c>
    </row>
    <row r="2">
      <c r="A2" t="inlineStr">
        <is>
          <t>Perennials</t>
        </is>
      </c>
      <c r="B2">
        <f>COUNTIF(Items!$C$2:$C$59,A2)</f>
        <v/>
      </c>
      <c r="C2">
        <f>SUMIF(Items!$C$2:$C$59,A2,Items!$E$2:$E$59)</f>
        <v/>
      </c>
      <c r="D2">
        <f>SUMIF(Items!$C$2:$C$59,A2,Items!$G$2:$G$59)</f>
        <v/>
      </c>
    </row>
    <row r="3">
      <c r="A3" t="inlineStr">
        <is>
          <t>Shrubs</t>
        </is>
      </c>
      <c r="B3">
        <f>COUNTIF(Items!$C$2:$C$59,A3)</f>
        <v/>
      </c>
      <c r="C3">
        <f>SUMIF(Items!$C$2:$C$59,A3,Items!$E$2:$E$59)</f>
        <v/>
      </c>
      <c r="D3">
        <f>SUMIF(Items!$C$2:$C$59,A3,Items!$G$2:$G$59)</f>
        <v/>
      </c>
    </row>
    <row r="4">
      <c r="A4" t="inlineStr">
        <is>
          <t>Trees</t>
        </is>
      </c>
      <c r="B4">
        <f>COUNTIF(Items!$C$2:$C$59,A4)</f>
        <v/>
      </c>
      <c r="C4">
        <f>SUMIF(Items!$C$2:$C$59,A4,Items!$E$2:$E$59)</f>
        <v/>
      </c>
      <c r="D4">
        <f>SUMIF(Items!$C$2:$C$59,A4,Items!$G$2:$G$59)</f>
        <v/>
      </c>
    </row>
    <row r="5">
      <c r="A5" t="inlineStr">
        <is>
          <t>Houseplants</t>
        </is>
      </c>
      <c r="B5">
        <f>COUNTIF(Items!$C$2:$C$59,A5)</f>
        <v/>
      </c>
      <c r="C5">
        <f>SUMIF(Items!$C$2:$C$59,A5,Items!$E$2:$E$59)</f>
        <v/>
      </c>
      <c r="D5">
        <f>SUMIF(Items!$C$2:$C$59,A5,Items!$G$2:$G$59)</f>
        <v/>
      </c>
    </row>
    <row r="6">
      <c r="A6" t="inlineStr">
        <is>
          <t>Pots &amp; Planters</t>
        </is>
      </c>
      <c r="B6">
        <f>COUNTIF(Items!$C$2:$C$59,A6)</f>
        <v/>
      </c>
      <c r="C6">
        <f>SUMIF(Items!$C$2:$C$59,A6,Items!$E$2:$E$59)</f>
        <v/>
      </c>
      <c r="D6">
        <f>SUMIF(Items!$C$2:$C$59,A6,Items!$G$2:$G$59)</f>
        <v/>
      </c>
    </row>
    <row r="7">
      <c r="A7" t="inlineStr">
        <is>
          <t>Soil &amp; Mulch</t>
        </is>
      </c>
      <c r="B7">
        <f>COUNTIF(Items!$C$2:$C$59,A7)</f>
        <v/>
      </c>
      <c r="C7">
        <f>SUMIF(Items!$C$2:$C$59,A7,Items!$E$2:$E$59)</f>
        <v/>
      </c>
      <c r="D7">
        <f>SUMIF(Items!$C$2:$C$59,A7,Items!$G$2:$G$59)</f>
        <v/>
      </c>
    </row>
    <row r="8">
      <c r="A8" t="inlineStr">
        <is>
          <t>Tools</t>
        </is>
      </c>
      <c r="B8">
        <f>COUNTIF(Items!$C$2:$C$59,A8)</f>
        <v/>
      </c>
      <c r="C8">
        <f>SUMIF(Items!$C$2:$C$59,A8,Items!$E$2:$E$59)</f>
        <v/>
      </c>
      <c r="D8">
        <f>SUMIF(Items!$C$2:$C$59,A8,Items!$G$2:$G$59)</f>
        <v/>
      </c>
    </row>
    <row r="9">
      <c r="A9" t="inlineStr">
        <is>
          <t>Total stock value</t>
        </is>
      </c>
      <c r="B9">
        <f>SUM(B2:B8)</f>
        <v/>
      </c>
      <c r="C9">
        <f>SUM(C2:C8)</f>
        <v/>
      </c>
      <c r="D9">
        <f>SUM(D2:D8)</f>
        <v/>
      </c>
    </row>
    <row r="11">
      <c r="A11" t="inlineStr">
        <is>
          <t>Items with no cost on file (listed on Items, left out of the totals)</t>
        </is>
      </c>
    </row>
    <row r="12">
      <c r="A12" t="inlineStr">
        <is>
          <t>HOU-0849</t>
        </is>
      </c>
      <c r="B12" t="inlineStr">
        <is>
          <t>Calathea 6 in</t>
        </is>
      </c>
      <c r="C12" t="inlineStr">
        <is>
          <t>Houseplants</t>
        </is>
      </c>
      <c r="D12" t="inlineStr">
        <is>
          <t>No cost on file - chase with purchasing</t>
        </is>
      </c>
    </row>
    <row r="13">
      <c r="A13" t="inlineStr">
        <is>
          <t>PER-0647</t>
        </is>
      </c>
      <c r="B13" t="inlineStr">
        <is>
          <t>Salvia 'May Night' 1 gal</t>
        </is>
      </c>
      <c r="C13" t="inlineStr">
        <is>
          <t>Perennials</t>
        </is>
      </c>
      <c r="D13" t="inlineStr">
        <is>
          <t>No cost on file - chase with purchasing</t>
        </is>
      </c>
    </row>
    <row r="14">
      <c r="A14" t="inlineStr">
        <is>
          <t>PER-0769</t>
        </is>
      </c>
      <c r="B14" t="inlineStr">
        <is>
          <t>Sedum 'Autumn Joy' 1 gal</t>
        </is>
      </c>
      <c r="C14" t="inlineStr">
        <is>
          <t>Perennials</t>
        </is>
      </c>
      <c r="D14" t="inlineStr">
        <is>
          <t>No cost on file - chase with purchasing</t>
        </is>
      </c>
    </row>
    <row r="15">
      <c r="A15" t="inlineStr">
        <is>
          <t>TOL-0119</t>
        </is>
      </c>
      <c r="B15" t="inlineStr">
        <is>
          <t>Felco F-2 pruner</t>
        </is>
      </c>
      <c r="C15" t="inlineStr">
        <is>
          <t>Tools</t>
        </is>
      </c>
      <c r="D15" t="inlineStr">
        <is>
          <t>No cost on file - chase with purchasing</t>
        </is>
      </c>
    </row>
    <row r="16">
      <c r="A16" t="inlineStr">
        <is>
          <t>TRE-0502</t>
        </is>
      </c>
      <c r="B16" t="inlineStr">
        <is>
          <t>Dwarf Alberta Spruce 5 gal</t>
        </is>
      </c>
      <c r="C16" t="inlineStr">
        <is>
          <t>Trees</t>
        </is>
      </c>
      <c r="D16" t="inlineStr">
        <is>
          <t>No cost on file - chase with purchasing</t>
        </is>
      </c>
    </row>
    <row r="18">
      <c r="A18" t="inlineStr">
        <is>
          <t>Negative on-hand counts are valued at zero. Cost is the most recent receipt on the purchasing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30" customWidth="1" min="8" max="8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Department</t>
        </is>
      </c>
      <c r="D1" s="1" t="inlineStr">
        <is>
          <t>On hand</t>
        </is>
      </c>
      <c r="E1" s="1" t="inlineStr">
        <is>
          <t>Units valued</t>
        </is>
      </c>
      <c r="F1" s="1" t="inlineStr">
        <is>
          <t>Latest cost</t>
        </is>
      </c>
      <c r="G1" s="1" t="inlineStr">
        <is>
          <t>Value</t>
        </is>
      </c>
      <c r="H1" s="1" t="inlineStr">
        <is>
          <t>Flag</t>
        </is>
      </c>
    </row>
    <row r="2">
      <c r="A2" t="inlineStr">
        <is>
          <t>PER-0039</t>
        </is>
      </c>
      <c r="B2" t="inlineStr">
        <is>
          <t>Echinacea 'Magnus' 1 gal</t>
        </is>
      </c>
      <c r="C2" t="inlineStr">
        <is>
          <t>Perennials</t>
        </is>
      </c>
      <c r="D2" t="n">
        <v>59</v>
      </c>
      <c r="E2">
        <f>MAX(D2,0)</f>
        <v/>
      </c>
      <c r="F2" t="n">
        <v>3.84</v>
      </c>
      <c r="G2">
        <f>IF(F2="",0,ROUND(E2*F2,2))</f>
        <v/>
      </c>
      <c r="H2">
        <f>IF(F2="","No cost on file - not valued","")</f>
        <v/>
      </c>
    </row>
    <row r="3">
      <c r="A3" t="inlineStr">
        <is>
          <t>PER-0271</t>
        </is>
      </c>
      <c r="B3" t="inlineStr">
        <is>
          <t>Hosta 'Patriot' 2 gal</t>
        </is>
      </c>
      <c r="C3" t="inlineStr">
        <is>
          <t>Perennials</t>
        </is>
      </c>
      <c r="D3" t="n">
        <v>31</v>
      </c>
      <c r="E3">
        <f>MAX(D3,0)</f>
        <v/>
      </c>
      <c r="F3" t="n">
        <v>7.52</v>
      </c>
      <c r="G3">
        <f>IF(F3="",0,ROUND(E3*F3,2))</f>
        <v/>
      </c>
      <c r="H3">
        <f>IF(F3="","No cost on file - not valued","")</f>
        <v/>
      </c>
    </row>
    <row r="4">
      <c r="A4" t="inlineStr">
        <is>
          <t>PER-0377</t>
        </is>
      </c>
      <c r="B4" t="inlineStr">
        <is>
          <t>Black-eyed Susan 1 gal</t>
        </is>
      </c>
      <c r="C4" t="inlineStr">
        <is>
          <t>Perennials</t>
        </is>
      </c>
      <c r="D4" t="n">
        <v>20</v>
      </c>
      <c r="E4">
        <f>MAX(D4,0)</f>
        <v/>
      </c>
      <c r="F4" t="n">
        <v>3.37</v>
      </c>
      <c r="G4">
        <f>IF(F4="",0,ROUND(E4*F4,2))</f>
        <v/>
      </c>
      <c r="H4">
        <f>IF(F4="","No cost on file - not valued","")</f>
        <v/>
      </c>
    </row>
    <row r="5">
      <c r="A5" t="inlineStr">
        <is>
          <t>PER-0552</t>
        </is>
      </c>
      <c r="B5" t="inlineStr">
        <is>
          <t>Lavender 'Hidcote' 1 gal</t>
        </is>
      </c>
      <c r="C5" t="inlineStr">
        <is>
          <t>Perennials</t>
        </is>
      </c>
      <c r="D5" t="n">
        <v>60</v>
      </c>
      <c r="E5">
        <f>MAX(D5,0)</f>
        <v/>
      </c>
      <c r="F5" t="n">
        <v>4.57</v>
      </c>
      <c r="G5">
        <f>IF(F5="",0,ROUND(E5*F5,2))</f>
        <v/>
      </c>
      <c r="H5">
        <f>IF(F5="","No cost on file - not valued","")</f>
        <v/>
      </c>
    </row>
    <row r="6">
      <c r="A6" t="inlineStr">
        <is>
          <t>PER-0647</t>
        </is>
      </c>
      <c r="B6" t="inlineStr">
        <is>
          <t>Salvia 'May Night' 1 gal</t>
        </is>
      </c>
      <c r="C6" t="inlineStr">
        <is>
          <t>Perennials</t>
        </is>
      </c>
      <c r="D6" t="n">
        <v>48</v>
      </c>
      <c r="E6">
        <f>MAX(D6,0)</f>
        <v/>
      </c>
      <c r="G6">
        <f>IF(F6="",0,ROUND(E6*F6,2))</f>
        <v/>
      </c>
      <c r="H6">
        <f>IF(F6="","No cost on file - not valued","")</f>
        <v/>
      </c>
    </row>
    <row r="7">
      <c r="A7" t="inlineStr">
        <is>
          <t>PER-0677</t>
        </is>
      </c>
      <c r="B7" t="inlineStr">
        <is>
          <t>Coral Bells 1 gal</t>
        </is>
      </c>
      <c r="C7" t="inlineStr">
        <is>
          <t>Perennials</t>
        </is>
      </c>
      <c r="D7" t="n">
        <v>73</v>
      </c>
      <c r="E7">
        <f>MAX(D7,0)</f>
        <v/>
      </c>
      <c r="F7" t="n">
        <v>5.52</v>
      </c>
      <c r="G7">
        <f>IF(F7="",0,ROUND(E7*F7,2))</f>
        <v/>
      </c>
      <c r="H7">
        <f>IF(F7="","No cost on file - not valued","")</f>
        <v/>
      </c>
    </row>
    <row r="8">
      <c r="A8" t="inlineStr">
        <is>
          <t>PER-0717</t>
        </is>
      </c>
      <c r="B8" t="inlineStr">
        <is>
          <t>Daylily 'Stella de Oro' 1 gal</t>
        </is>
      </c>
      <c r="C8" t="inlineStr">
        <is>
          <t>Perennials</t>
        </is>
      </c>
      <c r="D8" t="n">
        <v>93</v>
      </c>
      <c r="E8">
        <f>MAX(D8,0)</f>
        <v/>
      </c>
      <c r="F8" t="n">
        <v>3.22</v>
      </c>
      <c r="G8">
        <f>IF(F8="",0,ROUND(E8*F8,2))</f>
        <v/>
      </c>
      <c r="H8">
        <f>IF(F8="","No cost on file - not valued","")</f>
        <v/>
      </c>
    </row>
    <row r="9">
      <c r="A9" t="inlineStr">
        <is>
          <t>PER-0767</t>
        </is>
      </c>
      <c r="B9" t="inlineStr">
        <is>
          <t>Russian Sage 2 gal</t>
        </is>
      </c>
      <c r="C9" t="inlineStr">
        <is>
          <t>Perennials</t>
        </is>
      </c>
      <c r="D9" t="n">
        <v>35</v>
      </c>
      <c r="E9">
        <f>MAX(D9,0)</f>
        <v/>
      </c>
      <c r="F9" t="n">
        <v>7.22</v>
      </c>
      <c r="G9">
        <f>IF(F9="",0,ROUND(E9*F9,2))</f>
        <v/>
      </c>
      <c r="H9">
        <f>IF(F9="","No cost on file - not valued","")</f>
        <v/>
      </c>
    </row>
    <row r="10">
      <c r="A10" t="inlineStr">
        <is>
          <t>PER-0769</t>
        </is>
      </c>
      <c r="B10" t="inlineStr">
        <is>
          <t>Sedum 'Autumn Joy' 1 gal</t>
        </is>
      </c>
      <c r="C10" t="inlineStr">
        <is>
          <t>Perennials</t>
        </is>
      </c>
      <c r="D10" t="n">
        <v>98</v>
      </c>
      <c r="E10">
        <f>MAX(D10,0)</f>
        <v/>
      </c>
      <c r="G10">
        <f>IF(F10="",0,ROUND(E10*F10,2))</f>
        <v/>
      </c>
      <c r="H10">
        <f>IF(F10="","No cost on file - not valued","")</f>
        <v/>
      </c>
    </row>
    <row r="11">
      <c r="A11" t="inlineStr">
        <is>
          <t>PER-0824</t>
        </is>
      </c>
      <c r="B11" t="inlineStr">
        <is>
          <t>Hellebore 2 gal</t>
        </is>
      </c>
      <c r="C11" t="inlineStr">
        <is>
          <t>Perennials</t>
        </is>
      </c>
      <c r="D11" t="n">
        <v>97</v>
      </c>
      <c r="E11">
        <f>MAX(D11,0)</f>
        <v/>
      </c>
      <c r="F11" t="n">
        <v>10.41</v>
      </c>
      <c r="G11">
        <f>IF(F11="",0,ROUND(E11*F11,2))</f>
        <v/>
      </c>
      <c r="H11">
        <f>IF(F11="","No cost on file - not valued","")</f>
        <v/>
      </c>
    </row>
    <row r="12">
      <c r="A12" t="inlineStr">
        <is>
          <t>PER-0870</t>
        </is>
      </c>
      <c r="B12" t="inlineStr">
        <is>
          <t>Catmint 'Walker's Low' 1 gal</t>
        </is>
      </c>
      <c r="C12" t="inlineStr">
        <is>
          <t>Perennials</t>
        </is>
      </c>
      <c r="D12" t="n">
        <v>17</v>
      </c>
      <c r="E12">
        <f>MAX(D12,0)</f>
        <v/>
      </c>
      <c r="F12" t="n">
        <v>4.04</v>
      </c>
      <c r="G12">
        <f>IF(F12="",0,ROUND(E12*F12,2))</f>
        <v/>
      </c>
      <c r="H12">
        <f>IF(F12="","No cost on file - not valued","")</f>
        <v/>
      </c>
    </row>
    <row r="13">
      <c r="A13" t="inlineStr">
        <is>
          <t>PER-0871</t>
        </is>
      </c>
      <c r="B13" t="inlineStr">
        <is>
          <t>Astilbe 1 gal</t>
        </is>
      </c>
      <c r="C13" t="inlineStr">
        <is>
          <t>Perennials</t>
        </is>
      </c>
      <c r="D13" t="n">
        <v>56</v>
      </c>
      <c r="E13">
        <f>MAX(D13,0)</f>
        <v/>
      </c>
      <c r="F13" t="n">
        <v>4.4</v>
      </c>
      <c r="G13">
        <f>IF(F13="",0,ROUND(E13*F13,2))</f>
        <v/>
      </c>
      <c r="H13">
        <f>IF(F13="","No cost on file - not valued","")</f>
        <v/>
      </c>
    </row>
    <row r="14">
      <c r="A14" t="inlineStr">
        <is>
          <t>SHR-0011</t>
        </is>
      </c>
      <c r="B14" t="inlineStr">
        <is>
          <t>Hydrangea 'Limelight' 3 gal</t>
        </is>
      </c>
      <c r="C14" t="inlineStr">
        <is>
          <t>Shrubs</t>
        </is>
      </c>
      <c r="D14" t="n">
        <v>69</v>
      </c>
      <c r="E14">
        <f>MAX(D14,0)</f>
        <v/>
      </c>
      <c r="F14" t="n">
        <v>19.28</v>
      </c>
      <c r="G14">
        <f>IF(F14="",0,ROUND(E14*F14,2))</f>
        <v/>
      </c>
      <c r="H14">
        <f>IF(F14="","No cost on file - not valued","")</f>
        <v/>
      </c>
    </row>
    <row r="15">
      <c r="A15" t="inlineStr">
        <is>
          <t>SHR-0015</t>
        </is>
      </c>
      <c r="B15" t="inlineStr">
        <is>
          <t>Boxwood 'Green Velvet' 3 gal</t>
        </is>
      </c>
      <c r="C15" t="inlineStr">
        <is>
          <t>Shrubs</t>
        </is>
      </c>
      <c r="D15" t="n">
        <v>80</v>
      </c>
      <c r="E15">
        <f>MAX(D15,0)</f>
        <v/>
      </c>
      <c r="F15" t="n">
        <v>16.35</v>
      </c>
      <c r="G15">
        <f>IF(F15="",0,ROUND(E15*F15,2))</f>
        <v/>
      </c>
      <c r="H15">
        <f>IF(F15="","No cost on file - not valued","")</f>
        <v/>
      </c>
    </row>
    <row r="16">
      <c r="A16" t="inlineStr">
        <is>
          <t>SHR-0179</t>
        </is>
      </c>
      <c r="B16" t="inlineStr">
        <is>
          <t>Lilac 5 gal</t>
        </is>
      </c>
      <c r="C16" t="inlineStr">
        <is>
          <t>Shrubs</t>
        </is>
      </c>
      <c r="D16" t="n">
        <v>88</v>
      </c>
      <c r="E16">
        <f>MAX(D16,0)</f>
        <v/>
      </c>
      <c r="F16" t="n">
        <v>23.58</v>
      </c>
      <c r="G16">
        <f>IF(F16="",0,ROUND(E16*F16,2))</f>
        <v/>
      </c>
      <c r="H16">
        <f>IF(F16="","No cost on file - not valued","")</f>
        <v/>
      </c>
    </row>
    <row r="17">
      <c r="A17" t="inlineStr">
        <is>
          <t>SHR-0180</t>
        </is>
      </c>
      <c r="B17" t="inlineStr">
        <is>
          <t>Spirea 'Goldflame' 2 gal</t>
        </is>
      </c>
      <c r="C17" t="inlineStr">
        <is>
          <t>Shrubs</t>
        </is>
      </c>
      <c r="D17" t="n">
        <v>49</v>
      </c>
      <c r="E17">
        <f>MAX(D17,0)</f>
        <v/>
      </c>
      <c r="F17" t="n">
        <v>9.5</v>
      </c>
      <c r="G17">
        <f>IF(F17="",0,ROUND(E17*F17,2))</f>
        <v/>
      </c>
      <c r="H17">
        <f>IF(F17="","No cost on file - not valued","")</f>
        <v/>
      </c>
    </row>
    <row r="18">
      <c r="A18" t="inlineStr">
        <is>
          <t>SHR-0213</t>
        </is>
      </c>
      <c r="B18" t="inlineStr">
        <is>
          <t>Ninebark 'Diabolo' 3 gal</t>
        </is>
      </c>
      <c r="C18" t="inlineStr">
        <is>
          <t>Shrubs</t>
        </is>
      </c>
      <c r="D18" t="n">
        <v>46</v>
      </c>
      <c r="E18">
        <f>MAX(D18,0)</f>
        <v/>
      </c>
      <c r="F18" t="n">
        <v>16.21</v>
      </c>
      <c r="G18">
        <f>IF(F18="",0,ROUND(E18*F18,2))</f>
        <v/>
      </c>
      <c r="H18">
        <f>IF(F18="","No cost on file - not valued","")</f>
        <v/>
      </c>
    </row>
    <row r="19">
      <c r="A19" t="inlineStr">
        <is>
          <t>SHR-0224</t>
        </is>
      </c>
      <c r="B19" t="inlineStr">
        <is>
          <t>Azalea 'Encore' 3 gal</t>
        </is>
      </c>
      <c r="C19" t="inlineStr">
        <is>
          <t>Shrubs</t>
        </is>
      </c>
      <c r="D19" t="n">
        <v>-8</v>
      </c>
      <c r="E19">
        <f>MAX(D19,0)</f>
        <v/>
      </c>
      <c r="F19" t="n">
        <v>21.88</v>
      </c>
      <c r="G19">
        <f>IF(F19="",0,ROUND(E19*F19,2))</f>
        <v/>
      </c>
      <c r="H19">
        <f>IF(F19="","No cost on file - not valued","")</f>
        <v/>
      </c>
    </row>
    <row r="20">
      <c r="A20" t="inlineStr">
        <is>
          <t>SHR-0230</t>
        </is>
      </c>
      <c r="B20" t="inlineStr">
        <is>
          <t>Rhododendron 5 gal</t>
        </is>
      </c>
      <c r="C20" t="inlineStr">
        <is>
          <t>Shrubs</t>
        </is>
      </c>
      <c r="D20" t="n">
        <v>42</v>
      </c>
      <c r="E20">
        <f>MAX(D20,0)</f>
        <v/>
      </c>
      <c r="F20" t="n">
        <v>30.04</v>
      </c>
      <c r="G20">
        <f>IF(F20="",0,ROUND(E20*F20,2))</f>
        <v/>
      </c>
      <c r="H20">
        <f>IF(F20="","No cost on file - not valued","")</f>
        <v/>
      </c>
    </row>
    <row r="21">
      <c r="A21" t="inlineStr">
        <is>
          <t>SHR-0306</t>
        </is>
      </c>
      <c r="B21" t="inlineStr">
        <is>
          <t>Viburnum 5 gal</t>
        </is>
      </c>
      <c r="C21" t="inlineStr">
        <is>
          <t>Shrubs</t>
        </is>
      </c>
      <c r="D21" t="n">
        <v>77</v>
      </c>
      <c r="E21">
        <f>MAX(D21,0)</f>
        <v/>
      </c>
      <c r="F21" t="n">
        <v>21.94</v>
      </c>
      <c r="G21">
        <f>IF(F21="",0,ROUND(E21*F21,2))</f>
        <v/>
      </c>
      <c r="H21">
        <f>IF(F21="","No cost on file - not valued","")</f>
        <v/>
      </c>
    </row>
    <row r="22">
      <c r="A22" t="inlineStr">
        <is>
          <t>SHR-0331</t>
        </is>
      </c>
      <c r="B22" t="inlineStr">
        <is>
          <t>Arborvitae 'Emerald Green' 5 gal</t>
        </is>
      </c>
      <c r="C22" t="inlineStr">
        <is>
          <t>Shrubs</t>
        </is>
      </c>
      <c r="D22" t="n">
        <v>-9</v>
      </c>
      <c r="E22">
        <f>MAX(D22,0)</f>
        <v/>
      </c>
      <c r="F22" t="n">
        <v>23.31</v>
      </c>
      <c r="G22">
        <f>IF(F22="",0,ROUND(E22*F22,2))</f>
        <v/>
      </c>
      <c r="H22">
        <f>IF(F22="","No cost on file - not valued","")</f>
        <v/>
      </c>
    </row>
    <row r="23">
      <c r="A23" t="inlineStr">
        <is>
          <t>SHR-0802</t>
        </is>
      </c>
      <c r="B23" t="inlineStr">
        <is>
          <t>Forsythia 3 gal</t>
        </is>
      </c>
      <c r="C23" t="inlineStr">
        <is>
          <t>Shrubs</t>
        </is>
      </c>
      <c r="D23" t="n">
        <v>43</v>
      </c>
      <c r="E23">
        <f>MAX(D23,0)</f>
        <v/>
      </c>
      <c r="F23" t="n">
        <v>12.41</v>
      </c>
      <c r="G23">
        <f>IF(F23="",0,ROUND(E23*F23,2))</f>
        <v/>
      </c>
      <c r="H23">
        <f>IF(F23="","No cost on file - not valued","")</f>
        <v/>
      </c>
    </row>
    <row r="24">
      <c r="A24" t="inlineStr">
        <is>
          <t>TRE-0199</t>
        </is>
      </c>
      <c r="B24" t="inlineStr">
        <is>
          <t>Japanese Maple 'Bloodgood' 7 gal</t>
        </is>
      </c>
      <c r="C24" t="inlineStr">
        <is>
          <t>Trees</t>
        </is>
      </c>
      <c r="D24" t="n">
        <v>5</v>
      </c>
      <c r="E24">
        <f>MAX(D24,0)</f>
        <v/>
      </c>
      <c r="F24" t="n">
        <v>81.53</v>
      </c>
      <c r="G24">
        <f>IF(F24="",0,ROUND(E24*F24,2))</f>
        <v/>
      </c>
      <c r="H24">
        <f>IF(F24="","No cost on file - not valued","")</f>
        <v/>
      </c>
    </row>
    <row r="25">
      <c r="A25" t="inlineStr">
        <is>
          <t>TRE-0323</t>
        </is>
      </c>
      <c r="B25" t="inlineStr">
        <is>
          <t>Serviceberry 10 gal</t>
        </is>
      </c>
      <c r="C25" t="inlineStr">
        <is>
          <t>Trees</t>
        </is>
      </c>
      <c r="D25" t="n">
        <v>0</v>
      </c>
      <c r="E25">
        <f>MAX(D25,0)</f>
        <v/>
      </c>
      <c r="F25" t="n">
        <v>114.88</v>
      </c>
      <c r="G25">
        <f>IF(F25="",0,ROUND(E25*F25,2))</f>
        <v/>
      </c>
      <c r="H25">
        <f>IF(F25="","No cost on file - not valued","")</f>
        <v/>
      </c>
    </row>
    <row r="26">
      <c r="A26" t="inlineStr">
        <is>
          <t>TRE-0333</t>
        </is>
      </c>
      <c r="B26" t="inlineStr">
        <is>
          <t>Eastern Redbud 15 gal</t>
        </is>
      </c>
      <c r="C26" t="inlineStr">
        <is>
          <t>Trees</t>
        </is>
      </c>
      <c r="D26" t="n">
        <v>11</v>
      </c>
      <c r="E26">
        <f>MAX(D26,0)</f>
        <v/>
      </c>
      <c r="F26" t="n">
        <v>158.83</v>
      </c>
      <c r="G26">
        <f>IF(F26="",0,ROUND(E26*F26,2))</f>
        <v/>
      </c>
      <c r="H26">
        <f>IF(F26="","No cost on file - not valued","")</f>
        <v/>
      </c>
    </row>
    <row r="27">
      <c r="A27" t="inlineStr">
        <is>
          <t>TRE-0373</t>
        </is>
      </c>
      <c r="B27" t="inlineStr">
        <is>
          <t>River Birch B&amp;B 2 in</t>
        </is>
      </c>
      <c r="C27" t="inlineStr">
        <is>
          <t>Trees</t>
        </is>
      </c>
      <c r="D27" t="n">
        <v>4</v>
      </c>
      <c r="E27">
        <f>MAX(D27,0)</f>
        <v/>
      </c>
      <c r="F27" t="n">
        <v>244.19</v>
      </c>
      <c r="G27">
        <f>IF(F27="",0,ROUND(E27*F27,2))</f>
        <v/>
      </c>
      <c r="H27">
        <f>IF(F27="","No cost on file - not valued","")</f>
        <v/>
      </c>
    </row>
    <row r="28">
      <c r="A28" t="inlineStr">
        <is>
          <t>TRE-0493</t>
        </is>
      </c>
      <c r="B28" t="inlineStr">
        <is>
          <t>Honeycrisp Apple 5 gal</t>
        </is>
      </c>
      <c r="C28" t="inlineStr">
        <is>
          <t>Trees</t>
        </is>
      </c>
      <c r="D28" t="n">
        <v>53</v>
      </c>
      <c r="E28">
        <f>MAX(D28,0)</f>
        <v/>
      </c>
      <c r="F28" t="n">
        <v>44.22</v>
      </c>
      <c r="G28">
        <f>IF(F28="",0,ROUND(E28*F28,2))</f>
        <v/>
      </c>
      <c r="H28">
        <f>IF(F28="","No cost on file - not valued","")</f>
        <v/>
      </c>
    </row>
    <row r="29">
      <c r="A29" t="inlineStr">
        <is>
          <t>TRE-0502</t>
        </is>
      </c>
      <c r="B29" t="inlineStr">
        <is>
          <t>Dwarf Alberta Spruce 5 gal</t>
        </is>
      </c>
      <c r="C29" t="inlineStr">
        <is>
          <t>Trees</t>
        </is>
      </c>
      <c r="D29" t="n">
        <v>74</v>
      </c>
      <c r="E29">
        <f>MAX(D29,0)</f>
        <v/>
      </c>
      <c r="G29">
        <f>IF(F29="",0,ROUND(E29*F29,2))</f>
        <v/>
      </c>
      <c r="H29">
        <f>IF(F29="","No cost on file - not valued","")</f>
        <v/>
      </c>
    </row>
    <row r="30">
      <c r="A30" t="inlineStr">
        <is>
          <t>TRE-0723</t>
        </is>
      </c>
      <c r="B30" t="inlineStr">
        <is>
          <t>Kousa Dogwood 15 gal</t>
        </is>
      </c>
      <c r="C30" t="inlineStr">
        <is>
          <t>Trees</t>
        </is>
      </c>
      <c r="D30" t="n">
        <v>14</v>
      </c>
      <c r="E30">
        <f>MAX(D30,0)</f>
        <v/>
      </c>
      <c r="F30" t="n">
        <v>175.45</v>
      </c>
      <c r="G30">
        <f>IF(F30="",0,ROUND(E30*F30,2))</f>
        <v/>
      </c>
      <c r="H30">
        <f>IF(F30="","No cost on file - not valued","")</f>
        <v/>
      </c>
    </row>
    <row r="31">
      <c r="A31" t="inlineStr">
        <is>
          <t>TRE-0731</t>
        </is>
      </c>
      <c r="B31" t="inlineStr">
        <is>
          <t>Sugar Maple B&amp;B 3 in</t>
        </is>
      </c>
      <c r="C31" t="inlineStr">
        <is>
          <t>Trees</t>
        </is>
      </c>
      <c r="D31" t="n">
        <v>5</v>
      </c>
      <c r="E31">
        <f>MAX(D31,0)</f>
        <v/>
      </c>
      <c r="F31" t="n">
        <v>1281.47</v>
      </c>
      <c r="G31">
        <f>IF(F31="",0,ROUND(E31*F31,2))</f>
        <v/>
      </c>
      <c r="H31">
        <f>IF(F31="","No cost on file - not valued","")</f>
        <v/>
      </c>
    </row>
    <row r="32">
      <c r="A32" t="inlineStr">
        <is>
          <t>TRE-0848</t>
        </is>
      </c>
      <c r="B32" t="inlineStr">
        <is>
          <t>Weeping Cherry 15 gal</t>
        </is>
      </c>
      <c r="C32" t="inlineStr">
        <is>
          <t>Trees</t>
        </is>
      </c>
      <c r="D32" t="n">
        <v>6</v>
      </c>
      <c r="E32">
        <f>MAX(D32,0)</f>
        <v/>
      </c>
      <c r="F32" t="n">
        <v>203.9</v>
      </c>
      <c r="G32">
        <f>IF(F32="",0,ROUND(E32*F32,2))</f>
        <v/>
      </c>
      <c r="H32">
        <f>IF(F32="","No cost on file - not valued","")</f>
        <v/>
      </c>
    </row>
    <row r="33">
      <c r="A33" t="inlineStr">
        <is>
          <t>HOU-0261</t>
        </is>
      </c>
      <c r="B33" t="inlineStr">
        <is>
          <t>Monstera 10 in</t>
        </is>
      </c>
      <c r="C33" t="inlineStr">
        <is>
          <t>Houseplants</t>
        </is>
      </c>
      <c r="D33" t="n">
        <v>99</v>
      </c>
      <c r="E33">
        <f>MAX(D33,0)</f>
        <v/>
      </c>
      <c r="F33" t="n">
        <v>23.97</v>
      </c>
      <c r="G33">
        <f>IF(F33="",0,ROUND(E33*F33,2))</f>
        <v/>
      </c>
      <c r="H33">
        <f>IF(F33="","No cost on file - not valued","")</f>
        <v/>
      </c>
    </row>
    <row r="34">
      <c r="A34" t="inlineStr">
        <is>
          <t>HOU-0266</t>
        </is>
      </c>
      <c r="B34" t="inlineStr">
        <is>
          <t>Fiddle Leaf Fig 14 in</t>
        </is>
      </c>
      <c r="C34" t="inlineStr">
        <is>
          <t>Houseplants</t>
        </is>
      </c>
      <c r="D34" t="n">
        <v>75</v>
      </c>
      <c r="E34">
        <f>MAX(D34,0)</f>
        <v/>
      </c>
      <c r="F34" t="n">
        <v>46.06</v>
      </c>
      <c r="G34">
        <f>IF(F34="",0,ROUND(E34*F34,2))</f>
        <v/>
      </c>
      <c r="H34">
        <f>IF(F34="","No cost on file - not valued","")</f>
        <v/>
      </c>
    </row>
    <row r="35">
      <c r="A35" t="inlineStr">
        <is>
          <t>HOU-0362</t>
        </is>
      </c>
      <c r="B35" t="inlineStr">
        <is>
          <t>Snake Plant 6 in</t>
        </is>
      </c>
      <c r="C35" t="inlineStr">
        <is>
          <t>Houseplants</t>
        </is>
      </c>
      <c r="D35" t="n">
        <v>102</v>
      </c>
      <c r="E35">
        <f>MAX(D35,0)</f>
        <v/>
      </c>
      <c r="F35" t="n">
        <v>7.92</v>
      </c>
      <c r="G35">
        <f>IF(F35="",0,ROUND(E35*F35,2))</f>
        <v/>
      </c>
      <c r="H35">
        <f>IF(F35="","No cost on file - not valued","")</f>
        <v/>
      </c>
    </row>
    <row r="36">
      <c r="A36" t="inlineStr">
        <is>
          <t>HOU-0373</t>
        </is>
      </c>
      <c r="B36" t="inlineStr">
        <is>
          <t>Pothos 6 in hanging</t>
        </is>
      </c>
      <c r="C36" t="inlineStr">
        <is>
          <t>Houseplants</t>
        </is>
      </c>
      <c r="D36" t="n">
        <v>37</v>
      </c>
      <c r="E36">
        <f>MAX(D36,0)</f>
        <v/>
      </c>
      <c r="F36" t="n">
        <v>6.84</v>
      </c>
      <c r="G36">
        <f>IF(F36="",0,ROUND(E36*F36,2))</f>
        <v/>
      </c>
      <c r="H36">
        <f>IF(F36="","No cost on file - not valued","")</f>
        <v/>
      </c>
    </row>
    <row r="37">
      <c r="A37" t="inlineStr">
        <is>
          <t>HOU-0483</t>
        </is>
      </c>
      <c r="B37" t="inlineStr">
        <is>
          <t>ZZ Plant 8 in</t>
        </is>
      </c>
      <c r="C37" t="inlineStr">
        <is>
          <t>Houseplants</t>
        </is>
      </c>
      <c r="D37" t="n">
        <v>11</v>
      </c>
      <c r="E37">
        <f>MAX(D37,0)</f>
        <v/>
      </c>
      <c r="F37" t="n">
        <v>13.87</v>
      </c>
      <c r="G37">
        <f>IF(F37="",0,ROUND(E37*F37,2))</f>
        <v/>
      </c>
      <c r="H37">
        <f>IF(F37="","No cost on file - not valued","")</f>
        <v/>
      </c>
    </row>
    <row r="38">
      <c r="A38" t="inlineStr">
        <is>
          <t>HOU-0534</t>
        </is>
      </c>
      <c r="B38" t="inlineStr">
        <is>
          <t>Peace Lily 8 in</t>
        </is>
      </c>
      <c r="C38" t="inlineStr">
        <is>
          <t>Houseplants</t>
        </is>
      </c>
      <c r="D38" t="n">
        <v>65</v>
      </c>
      <c r="E38">
        <f>MAX(D38,0)</f>
        <v/>
      </c>
      <c r="F38" t="n">
        <v>10.67</v>
      </c>
      <c r="G38">
        <f>IF(F38="",0,ROUND(E38*F38,2))</f>
        <v/>
      </c>
      <c r="H38">
        <f>IF(F38="","No cost on file - not valued","")</f>
        <v/>
      </c>
    </row>
    <row r="39">
      <c r="A39" t="inlineStr">
        <is>
          <t>HOU-0547</t>
        </is>
      </c>
      <c r="B39" t="inlineStr">
        <is>
          <t>Bird of Paradise 14 in</t>
        </is>
      </c>
      <c r="C39" t="inlineStr">
        <is>
          <t>Houseplants</t>
        </is>
      </c>
      <c r="D39" t="n">
        <v>-4</v>
      </c>
      <c r="E39">
        <f>MAX(D39,0)</f>
        <v/>
      </c>
      <c r="F39" t="n">
        <v>50.85</v>
      </c>
      <c r="G39">
        <f>IF(F39="",0,ROUND(E39*F39,2))</f>
        <v/>
      </c>
      <c r="H39">
        <f>IF(F39="","No cost on file - not valued","")</f>
        <v/>
      </c>
    </row>
    <row r="40">
      <c r="A40" t="inlineStr">
        <is>
          <t>HOU-0849</t>
        </is>
      </c>
      <c r="B40" t="inlineStr">
        <is>
          <t>Calathea 6 in</t>
        </is>
      </c>
      <c r="C40" t="inlineStr">
        <is>
          <t>Houseplants</t>
        </is>
      </c>
      <c r="D40" t="n">
        <v>89</v>
      </c>
      <c r="E40">
        <f>MAX(D40,0)</f>
        <v/>
      </c>
      <c r="G40">
        <f>IF(F40="",0,ROUND(E40*F40,2))</f>
        <v/>
      </c>
      <c r="H40">
        <f>IF(F40="","No cost on file - not valued","")</f>
        <v/>
      </c>
    </row>
    <row r="41">
      <c r="A41" t="inlineStr">
        <is>
          <t>POT-0090</t>
        </is>
      </c>
      <c r="B41" t="inlineStr">
        <is>
          <t>Glazed pot 14 in cobalt</t>
        </is>
      </c>
      <c r="C41" t="inlineStr">
        <is>
          <t>Pots &amp; Planters</t>
        </is>
      </c>
      <c r="D41" t="n">
        <v>80</v>
      </c>
      <c r="E41">
        <f>MAX(D41,0)</f>
        <v/>
      </c>
      <c r="F41" t="n">
        <v>22.11</v>
      </c>
      <c r="G41">
        <f>IF(F41="",0,ROUND(E41*F41,2))</f>
        <v/>
      </c>
      <c r="H41">
        <f>IF(F41="","No cost on file - not valued","")</f>
        <v/>
      </c>
    </row>
    <row r="42">
      <c r="A42" t="inlineStr">
        <is>
          <t>POT-0191</t>
        </is>
      </c>
      <c r="B42" t="inlineStr">
        <is>
          <t>Terracotta pot 10 in</t>
        </is>
      </c>
      <c r="C42" t="inlineStr">
        <is>
          <t>Pots &amp; Planters</t>
        </is>
      </c>
      <c r="D42" t="n">
        <v>88</v>
      </c>
      <c r="E42">
        <f>MAX(D42,0)</f>
        <v/>
      </c>
      <c r="F42" t="n">
        <v>4.8</v>
      </c>
      <c r="G42">
        <f>IF(F42="",0,ROUND(E42*F42,2))</f>
        <v/>
      </c>
      <c r="H42">
        <f>IF(F42="","No cost on file - not valued","")</f>
        <v/>
      </c>
    </row>
    <row r="43">
      <c r="A43" t="inlineStr">
        <is>
          <t>POT-0323</t>
        </is>
      </c>
      <c r="B43" t="inlineStr">
        <is>
          <t>Fiberglass planter 24 in</t>
        </is>
      </c>
      <c r="C43" t="inlineStr">
        <is>
          <t>Pots &amp; Planters</t>
        </is>
      </c>
      <c r="D43" t="n">
        <v>61</v>
      </c>
      <c r="E43">
        <f>MAX(D43,0)</f>
        <v/>
      </c>
      <c r="F43" t="n">
        <v>65.34</v>
      </c>
      <c r="G43">
        <f>IF(F43="",0,ROUND(E43*F43,2))</f>
        <v/>
      </c>
      <c r="H43">
        <f>IF(F43="","No cost on file - not valued","")</f>
        <v/>
      </c>
    </row>
    <row r="44">
      <c r="A44" t="inlineStr">
        <is>
          <t>POT-0329</t>
        </is>
      </c>
      <c r="B44" t="inlineStr">
        <is>
          <t>Self-watering planter 12 in</t>
        </is>
      </c>
      <c r="C44" t="inlineStr">
        <is>
          <t>Pots &amp; Planters</t>
        </is>
      </c>
      <c r="D44" t="n">
        <v>6</v>
      </c>
      <c r="E44">
        <f>MAX(D44,0)</f>
        <v/>
      </c>
      <c r="F44" t="n">
        <v>16.86</v>
      </c>
      <c r="G44">
        <f>IF(F44="",0,ROUND(E44*F44,2))</f>
        <v/>
      </c>
      <c r="H44">
        <f>IF(F44="","No cost on file - not valued","")</f>
        <v/>
      </c>
    </row>
    <row r="45">
      <c r="A45" t="inlineStr">
        <is>
          <t>POT-0334</t>
        </is>
      </c>
      <c r="B45" t="inlineStr">
        <is>
          <t>Coco liner hanging basket 14 in</t>
        </is>
      </c>
      <c r="C45" t="inlineStr">
        <is>
          <t>Pots &amp; Planters</t>
        </is>
      </c>
      <c r="D45" t="n">
        <v>76</v>
      </c>
      <c r="E45">
        <f>MAX(D45,0)</f>
        <v/>
      </c>
      <c r="F45" t="n">
        <v>8.34</v>
      </c>
      <c r="G45">
        <f>IF(F45="",0,ROUND(E45*F45,2))</f>
        <v/>
      </c>
      <c r="H45">
        <f>IF(F45="","No cost on file - not valued","")</f>
        <v/>
      </c>
    </row>
    <row r="46">
      <c r="A46" t="inlineStr">
        <is>
          <t>POT-0712</t>
        </is>
      </c>
      <c r="B46" t="inlineStr">
        <is>
          <t>Cedar window box 30 in</t>
        </is>
      </c>
      <c r="C46" t="inlineStr">
        <is>
          <t>Pots &amp; Planters</t>
        </is>
      </c>
      <c r="D46" t="n">
        <v>51</v>
      </c>
      <c r="E46">
        <f>MAX(D46,0)</f>
        <v/>
      </c>
      <c r="F46" t="n">
        <v>38.27</v>
      </c>
      <c r="G46">
        <f>IF(F46="",0,ROUND(E46*F46,2))</f>
        <v/>
      </c>
      <c r="H46">
        <f>IF(F46="","No cost on file - not valued","")</f>
        <v/>
      </c>
    </row>
    <row r="47">
      <c r="A47" t="inlineStr">
        <is>
          <t>POT-0827</t>
        </is>
      </c>
      <c r="B47" t="inlineStr">
        <is>
          <t>Glazed pot 18 in celadon</t>
        </is>
      </c>
      <c r="C47" t="inlineStr">
        <is>
          <t>Pots &amp; Planters</t>
        </is>
      </c>
      <c r="D47" t="n">
        <v>94</v>
      </c>
      <c r="E47">
        <f>MAX(D47,0)</f>
        <v/>
      </c>
      <c r="F47" t="n">
        <v>38.84</v>
      </c>
      <c r="G47">
        <f>IF(F47="",0,ROUND(E47*F47,2))</f>
        <v/>
      </c>
      <c r="H47">
        <f>IF(F47="","No cost on file - not valued","")</f>
        <v/>
      </c>
    </row>
    <row r="48">
      <c r="A48" t="inlineStr">
        <is>
          <t>SOI-0159</t>
        </is>
      </c>
      <c r="B48" t="inlineStr">
        <is>
          <t>Potting mix 2 cu ft</t>
        </is>
      </c>
      <c r="C48" t="inlineStr">
        <is>
          <t>Soil &amp; Mulch</t>
        </is>
      </c>
      <c r="D48" t="n">
        <v>7</v>
      </c>
      <c r="E48">
        <f>MAX(D48,0)</f>
        <v/>
      </c>
      <c r="F48" t="n">
        <v>9.5</v>
      </c>
      <c r="G48">
        <f>IF(F48="",0,ROUND(E48*F48,2))</f>
        <v/>
      </c>
      <c r="H48">
        <f>IF(F48="","No cost on file - not valued","")</f>
        <v/>
      </c>
    </row>
    <row r="49">
      <c r="A49" t="inlineStr">
        <is>
          <t>SOI-0266</t>
        </is>
      </c>
      <c r="B49" t="inlineStr">
        <is>
          <t>Garden soil 1 cu ft</t>
        </is>
      </c>
      <c r="C49" t="inlineStr">
        <is>
          <t>Soil &amp; Mulch</t>
        </is>
      </c>
      <c r="D49" t="n">
        <v>81</v>
      </c>
      <c r="E49">
        <f>MAX(D49,0)</f>
        <v/>
      </c>
      <c r="F49" t="n">
        <v>3.96</v>
      </c>
      <c r="G49">
        <f>IF(F49="",0,ROUND(E49*F49,2))</f>
        <v/>
      </c>
      <c r="H49">
        <f>IF(F49="","No cost on file - not valued","")</f>
        <v/>
      </c>
    </row>
    <row r="50">
      <c r="A50" t="inlineStr">
        <is>
          <t>SOI-0441</t>
        </is>
      </c>
      <c r="B50" t="inlineStr">
        <is>
          <t>Hardwood mulch 2 cu ft</t>
        </is>
      </c>
      <c r="C50" t="inlineStr">
        <is>
          <t>Soil &amp; Mulch</t>
        </is>
      </c>
      <c r="D50" t="n">
        <v>63</v>
      </c>
      <c r="E50">
        <f>MAX(D50,0)</f>
        <v/>
      </c>
      <c r="F50" t="n">
        <v>3.41</v>
      </c>
      <c r="G50">
        <f>IF(F50="",0,ROUND(E50*F50,2))</f>
        <v/>
      </c>
      <c r="H50">
        <f>IF(F50="","No cost on file - not valued","")</f>
        <v/>
      </c>
    </row>
    <row r="51">
      <c r="A51" t="inlineStr">
        <is>
          <t>SOI-0476</t>
        </is>
      </c>
      <c r="B51" t="inlineStr">
        <is>
          <t>Compost 1 cu ft</t>
        </is>
      </c>
      <c r="C51" t="inlineStr">
        <is>
          <t>Soil &amp; Mulch</t>
        </is>
      </c>
      <c r="D51" t="n">
        <v>26</v>
      </c>
      <c r="E51">
        <f>MAX(D51,0)</f>
        <v/>
      </c>
      <c r="F51" t="n">
        <v>4.42</v>
      </c>
      <c r="G51">
        <f>IF(F51="",0,ROUND(E51*F51,2))</f>
        <v/>
      </c>
      <c r="H51">
        <f>IF(F51="","No cost on file - not valued","")</f>
        <v/>
      </c>
    </row>
    <row r="52">
      <c r="A52" t="inlineStr">
        <is>
          <t>SOI-0676</t>
        </is>
      </c>
      <c r="B52" t="inlineStr">
        <is>
          <t>Perlite 8 qt</t>
        </is>
      </c>
      <c r="C52" t="inlineStr">
        <is>
          <t>Soil &amp; Mulch</t>
        </is>
      </c>
      <c r="D52" t="n">
        <v>93</v>
      </c>
      <c r="E52">
        <f>MAX(D52,0)</f>
        <v/>
      </c>
      <c r="F52" t="n">
        <v>5.65</v>
      </c>
      <c r="G52">
        <f>IF(F52="",0,ROUND(E52*F52,2))</f>
        <v/>
      </c>
      <c r="H52">
        <f>IF(F52="","No cost on file - not valued","")</f>
        <v/>
      </c>
    </row>
    <row r="53">
      <c r="A53" t="inlineStr">
        <is>
          <t>SOI-0856</t>
        </is>
      </c>
      <c r="B53" t="inlineStr">
        <is>
          <t>Cedar mulch 2 cu ft</t>
        </is>
      </c>
      <c r="C53" t="inlineStr">
        <is>
          <t>Soil &amp; Mulch</t>
        </is>
      </c>
      <c r="D53" t="n">
        <v>-2</v>
      </c>
      <c r="E53">
        <f>MAX(D53,0)</f>
        <v/>
      </c>
      <c r="F53" t="n">
        <v>4.72</v>
      </c>
      <c r="G53">
        <f>IF(F53="",0,ROUND(E53*F53,2))</f>
        <v/>
      </c>
      <c r="H53">
        <f>IF(F53="","No cost on file - not valued","")</f>
        <v/>
      </c>
    </row>
    <row r="54">
      <c r="A54" t="inlineStr">
        <is>
          <t>TOL-0119</t>
        </is>
      </c>
      <c r="B54" t="inlineStr">
        <is>
          <t>Felco F-2 pruner</t>
        </is>
      </c>
      <c r="C54" t="inlineStr">
        <is>
          <t>Tools</t>
        </is>
      </c>
      <c r="D54" t="n">
        <v>19</v>
      </c>
      <c r="E54">
        <f>MAX(D54,0)</f>
        <v/>
      </c>
      <c r="G54">
        <f>IF(F54="",0,ROUND(E54*F54,2))</f>
        <v/>
      </c>
      <c r="H54">
        <f>IF(F54="","No cost on file - not valued","")</f>
        <v/>
      </c>
    </row>
    <row r="55">
      <c r="A55" t="inlineStr">
        <is>
          <t>TOL-0182</t>
        </is>
      </c>
      <c r="B55" t="inlineStr">
        <is>
          <t>Hori hori knife</t>
        </is>
      </c>
      <c r="C55" t="inlineStr">
        <is>
          <t>Tools</t>
        </is>
      </c>
      <c r="D55" t="n">
        <v>53</v>
      </c>
      <c r="E55">
        <f>MAX(D55,0)</f>
        <v/>
      </c>
      <c r="F55" t="n">
        <v>17.2</v>
      </c>
      <c r="G55">
        <f>IF(F55="",0,ROUND(E55*F55,2))</f>
        <v/>
      </c>
      <c r="H55">
        <f>IF(F55="","No cost on file - not valued","")</f>
        <v/>
      </c>
    </row>
    <row r="56">
      <c r="A56" t="inlineStr">
        <is>
          <t>TOL-0391</t>
        </is>
      </c>
      <c r="B56" t="inlineStr">
        <is>
          <t>Nitrile garden gloves M</t>
        </is>
      </c>
      <c r="C56" t="inlineStr">
        <is>
          <t>Tools</t>
        </is>
      </c>
      <c r="D56" t="n">
        <v>58</v>
      </c>
      <c r="E56">
        <f>MAX(D56,0)</f>
        <v/>
      </c>
      <c r="F56" t="n">
        <v>4.1</v>
      </c>
      <c r="G56">
        <f>IF(F56="",0,ROUND(E56*F56,2))</f>
        <v/>
      </c>
      <c r="H56">
        <f>IF(F56="","No cost on file - not valued","")</f>
        <v/>
      </c>
    </row>
    <row r="57">
      <c r="A57" t="inlineStr">
        <is>
          <t>TOL-0433</t>
        </is>
      </c>
      <c r="B57" t="inlineStr">
        <is>
          <t>Galvanized watering can 2 gal</t>
        </is>
      </c>
      <c r="C57" t="inlineStr">
        <is>
          <t>Tools</t>
        </is>
      </c>
      <c r="D57" t="n">
        <v>79</v>
      </c>
      <c r="E57">
        <f>MAX(D57,0)</f>
        <v/>
      </c>
      <c r="F57" t="n">
        <v>20.78</v>
      </c>
      <c r="G57">
        <f>IF(F57="",0,ROUND(E57*F57,2))</f>
        <v/>
      </c>
      <c r="H57">
        <f>IF(F57="","No cost on file - not valued","")</f>
        <v/>
      </c>
    </row>
    <row r="58">
      <c r="A58" t="inlineStr">
        <is>
          <t>TOL-0454</t>
        </is>
      </c>
      <c r="B58" t="inlineStr">
        <is>
          <t>8-pattern hose nozzle</t>
        </is>
      </c>
      <c r="C58" t="inlineStr">
        <is>
          <t>Tools</t>
        </is>
      </c>
      <c r="D58" t="n">
        <v>66</v>
      </c>
      <c r="E58">
        <f>MAX(D58,0)</f>
        <v/>
      </c>
      <c r="F58" t="n">
        <v>7.53</v>
      </c>
      <c r="G58">
        <f>IF(F58="",0,ROUND(E58*F58,2))</f>
        <v/>
      </c>
      <c r="H58">
        <f>IF(F58="","No cost on file - not valued","")</f>
        <v/>
      </c>
    </row>
    <row r="59">
      <c r="A59" t="inlineStr">
        <is>
          <t>TOL-0816</t>
        </is>
      </c>
      <c r="B59" t="inlineStr">
        <is>
          <t>Bypass loppers 28 in</t>
        </is>
      </c>
      <c r="C59" t="inlineStr">
        <is>
          <t>Tools</t>
        </is>
      </c>
      <c r="D59" t="n">
        <v>62</v>
      </c>
      <c r="E59">
        <f>MAX(D59,0)</f>
        <v/>
      </c>
      <c r="F59" t="n">
        <v>25.81</v>
      </c>
      <c r="G59">
        <f>IF(F59="",0,ROUND(E59*F59,2))</f>
        <v/>
      </c>
      <c r="H59">
        <f>IF(F59="","No cost on file - not valued","")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