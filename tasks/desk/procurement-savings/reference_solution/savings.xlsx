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Quoted value (USD)</t>
        </is>
      </c>
      <c r="C1" s="1" t="inlineStr">
        <is>
          <t>PO value (USD)</t>
        </is>
      </c>
      <c r="D1" s="1" t="inlineStr">
        <is>
          <t>Savings (USD)</t>
        </is>
      </c>
      <c r="E1" s="1" t="inlineStr">
        <is>
          <t>Savings %</t>
        </is>
      </c>
    </row>
    <row r="2">
      <c r="A2" t="inlineStr">
        <is>
          <t>Malt &amp; grain</t>
        </is>
      </c>
      <c r="B2">
        <f>SUMIF(Lines!$E$2:$E$28,A2,Lines!$O$2:$O$28)</f>
        <v/>
      </c>
      <c r="C2">
        <f>SUMIF(Lines!$E$2:$E$28,A2,Lines!$P$2:$P$28)</f>
        <v/>
      </c>
      <c r="D2">
        <f>SUMIF(Lines!$E$2:$E$28,A2,Lines!$Q$2:$Q$28)</f>
        <v/>
      </c>
      <c r="E2">
        <f>IF(B2=0,0,ROUND(D2/B2,4))</f>
        <v/>
      </c>
    </row>
    <row r="3">
      <c r="A3" t="inlineStr">
        <is>
          <t>Hops</t>
        </is>
      </c>
      <c r="B3">
        <f>SUMIF(Lines!$E$2:$E$28,A3,Lines!$O$2:$O$28)</f>
        <v/>
      </c>
      <c r="C3">
        <f>SUMIF(Lines!$E$2:$E$28,A3,Lines!$P$2:$P$28)</f>
        <v/>
      </c>
      <c r="D3">
        <f>SUMIF(Lines!$E$2:$E$28,A3,Lines!$Q$2:$Q$28)</f>
        <v/>
      </c>
      <c r="E3">
        <f>IF(B3=0,0,ROUND(D3/B3,4))</f>
        <v/>
      </c>
    </row>
    <row r="4">
      <c r="A4" t="inlineStr">
        <is>
          <t>Packaging</t>
        </is>
      </c>
      <c r="B4">
        <f>SUMIF(Lines!$E$2:$E$28,A4,Lines!$O$2:$O$28)</f>
        <v/>
      </c>
      <c r="C4">
        <f>SUMIF(Lines!$E$2:$E$28,A4,Lines!$P$2:$P$28)</f>
        <v/>
      </c>
      <c r="D4">
        <f>SUMIF(Lines!$E$2:$E$28,A4,Lines!$Q$2:$Q$28)</f>
        <v/>
      </c>
      <c r="E4">
        <f>IF(B4=0,0,ROUND(D4/B4,4))</f>
        <v/>
      </c>
    </row>
    <row r="5">
      <c r="A5" t="inlineStr">
        <is>
          <t>Cleaning &amp; sanitation</t>
        </is>
      </c>
      <c r="B5">
        <f>SUMIF(Lines!$E$2:$E$28,A5,Lines!$O$2:$O$28)</f>
        <v/>
      </c>
      <c r="C5">
        <f>SUMIF(Lines!$E$2:$E$28,A5,Lines!$P$2:$P$28)</f>
        <v/>
      </c>
      <c r="D5">
        <f>SUMIF(Lines!$E$2:$E$28,A5,Lines!$Q$2:$Q$28)</f>
        <v/>
      </c>
      <c r="E5">
        <f>IF(B5=0,0,ROUND(D5/B5,4))</f>
        <v/>
      </c>
    </row>
    <row r="6">
      <c r="A6" t="inlineStr">
        <is>
          <t>Lab &amp; QA</t>
        </is>
      </c>
      <c r="B6">
        <f>SUMIF(Lines!$E$2:$E$28,A6,Lines!$O$2:$O$28)</f>
        <v/>
      </c>
      <c r="C6">
        <f>SUMIF(Lines!$E$2:$E$28,A6,Lines!$P$2:$P$28)</f>
        <v/>
      </c>
      <c r="D6">
        <f>SUMIF(Lines!$E$2:$E$28,A6,Lines!$Q$2:$Q$28)</f>
        <v/>
      </c>
      <c r="E6">
        <f>IF(B6=0,0,ROUND(D6/B6,4))</f>
        <v/>
      </c>
    </row>
    <row r="7">
      <c r="A7" t="inlineStr">
        <is>
          <t>Total savings</t>
        </is>
      </c>
      <c r="B7">
        <f>SUM(B2:B6)</f>
        <v/>
      </c>
      <c r="C7">
        <f>SUM(C2:C6)</f>
        <v/>
      </c>
      <c r="D7">
        <f>SUM(D2:D6)</f>
        <v/>
      </c>
      <c r="E7">
        <f>IF(B7=0,0,ROUND(D7/B7,4))</f>
        <v/>
      </c>
    </row>
    <row r="8"/>
    <row r="9">
      <c r="A9" t="inlineStr">
        <is>
          <t>Savings = (revision-1 quote price x budget rate - PO unit price) x PO quantity. Cancelled POs and spot buys without a quote are excluded; price increases are negative savings.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8" customWidth="1" min="4" max="4"/>
    <col width="22" customWidth="1" min="5" max="5"/>
    <col width="14" customWidth="1" min="6" max="6"/>
  </cols>
  <sheetData>
    <row r="1">
      <c r="A1" s="1" t="inlineStr">
        <is>
          <t>po_number</t>
        </is>
      </c>
      <c r="B1" s="1" t="inlineStr">
        <is>
          <t>po_date</t>
        </is>
      </c>
      <c r="C1" s="1" t="inlineStr">
        <is>
          <t>status</t>
        </is>
      </c>
      <c r="D1" s="1" t="inlineStr">
        <is>
          <t>supplier</t>
        </is>
      </c>
      <c r="E1" s="1" t="inlineStr">
        <is>
          <t>category</t>
        </is>
      </c>
      <c r="F1" s="1" t="inlineStr">
        <is>
          <t>item_code</t>
        </is>
      </c>
      <c r="G1" s="1" t="inlineStr">
        <is>
          <t>quote_ref</t>
        </is>
      </c>
      <c r="H1" s="1" t="inlineStr">
        <is>
          <t>quote_currency</t>
        </is>
      </c>
      <c r="I1" s="1" t="inlineStr">
        <is>
          <t>quote_rev1_unit_price</t>
        </is>
      </c>
      <c r="J1" s="1" t="inlineStr">
        <is>
          <t>budget_rate_to_usd</t>
        </is>
      </c>
      <c r="K1" s="1" t="inlineStr">
        <is>
          <t>baseline_unit_usd</t>
        </is>
      </c>
      <c r="L1" s="1" t="inlineStr">
        <is>
          <t>po_qty</t>
        </is>
      </c>
      <c r="M1" s="1" t="inlineStr">
        <is>
          <t>po_unit_usd</t>
        </is>
      </c>
      <c r="N1" s="1" t="inlineStr">
        <is>
          <t>counts</t>
        </is>
      </c>
      <c r="O1" s="1" t="inlineStr">
        <is>
          <t>baseline_value_usd</t>
        </is>
      </c>
      <c r="P1" s="1" t="inlineStr">
        <is>
          <t>po_value_usd</t>
        </is>
      </c>
      <c r="Q1" s="1" t="inlineStr">
        <is>
          <t>savings_usd</t>
        </is>
      </c>
    </row>
    <row r="2">
      <c r="A2" t="inlineStr">
        <is>
          <t>PO-5298</t>
        </is>
      </c>
      <c r="B2" s="2" t="n">
        <v>46049</v>
      </c>
      <c r="C2" t="inlineStr">
        <is>
          <t>Closed</t>
        </is>
      </c>
      <c r="D2" t="inlineStr">
        <is>
          <t>Home Depot Pro</t>
        </is>
      </c>
      <c r="E2" t="inlineStr">
        <is>
          <t>Cleaning &amp; sanitation</t>
        </is>
      </c>
      <c r="F2" t="inlineStr">
        <is>
          <t>CHM-RAG-50</t>
        </is>
      </c>
      <c r="K2">
        <f>IF(G2="",0,ROUND(I2*J2,4))</f>
        <v/>
      </c>
      <c r="L2" t="n">
        <v>12</v>
      </c>
      <c r="M2" t="n">
        <v>32.5</v>
      </c>
      <c r="N2" t="n">
        <v>0</v>
      </c>
      <c r="O2">
        <f>N2*K2*L2</f>
        <v/>
      </c>
      <c r="P2">
        <f>N2*M2*L2</f>
        <v/>
      </c>
      <c r="Q2">
        <f>ROUND(O2-P2,2)</f>
        <v/>
      </c>
    </row>
    <row r="3">
      <c r="A3" t="inlineStr">
        <is>
          <t>PO-5301</t>
        </is>
      </c>
      <c r="B3" s="2" t="n">
        <v>46051</v>
      </c>
      <c r="C3" t="inlineStr">
        <is>
          <t>Open</t>
        </is>
      </c>
      <c r="D3" t="inlineStr">
        <is>
          <t>Great Lakes Can Co.</t>
        </is>
      </c>
      <c r="E3" t="inlineStr">
        <is>
          <t>Packaging</t>
        </is>
      </c>
      <c r="F3" t="inlineStr">
        <is>
          <t>CAN-16-BRT</t>
        </is>
      </c>
      <c r="G3" t="inlineStr">
        <is>
          <t>Q26-0133</t>
        </is>
      </c>
      <c r="H3" t="inlineStr">
        <is>
          <t>USD</t>
        </is>
      </c>
      <c r="I3" t="n">
        <v>167.81</v>
      </c>
      <c r="J3" t="n">
        <v>1</v>
      </c>
      <c r="K3">
        <f>IF(G3="",0,ROUND(I3*J3,4))</f>
        <v/>
      </c>
      <c r="L3" t="n">
        <v>40</v>
      </c>
      <c r="M3" t="n">
        <v>157.68</v>
      </c>
      <c r="N3" t="n">
        <v>1</v>
      </c>
      <c r="O3">
        <f>N3*K3*L3</f>
        <v/>
      </c>
      <c r="P3">
        <f>N3*M3*L3</f>
        <v/>
      </c>
      <c r="Q3">
        <f>ROUND(O3-P3,2)</f>
        <v/>
      </c>
    </row>
    <row r="4">
      <c r="A4" t="inlineStr">
        <is>
          <t>PO-5303</t>
        </is>
      </c>
      <c r="B4" s="2" t="n">
        <v>46055</v>
      </c>
      <c r="C4" t="inlineStr">
        <is>
          <t>Closed</t>
        </is>
      </c>
      <c r="D4" t="inlineStr">
        <is>
          <t>Cascade Lab Supply</t>
        </is>
      </c>
      <c r="E4" t="inlineStr">
        <is>
          <t>Lab &amp; QA</t>
        </is>
      </c>
      <c r="F4" t="inlineStr">
        <is>
          <t>LAB-ATP-100</t>
        </is>
      </c>
      <c r="G4" t="inlineStr">
        <is>
          <t>Q26-0132</t>
        </is>
      </c>
      <c r="H4" t="inlineStr">
        <is>
          <t>USD</t>
        </is>
      </c>
      <c r="I4" t="n">
        <v>217.85</v>
      </c>
      <c r="J4" t="n">
        <v>1</v>
      </c>
      <c r="K4">
        <f>IF(G4="",0,ROUND(I4*J4,4))</f>
        <v/>
      </c>
      <c r="L4" t="n">
        <v>9</v>
      </c>
      <c r="M4" t="n">
        <v>213.79</v>
      </c>
      <c r="N4" t="n">
        <v>1</v>
      </c>
      <c r="O4">
        <f>N4*K4*L4</f>
        <v/>
      </c>
      <c r="P4">
        <f>N4*M4*L4</f>
        <v/>
      </c>
      <c r="Q4">
        <f>ROUND(O4-P4,2)</f>
        <v/>
      </c>
    </row>
    <row r="5">
      <c r="A5" t="inlineStr">
        <is>
          <t>PO-5304</t>
        </is>
      </c>
      <c r="B5" s="2" t="n">
        <v>46060</v>
      </c>
      <c r="C5" t="inlineStr">
        <is>
          <t>Closed</t>
        </is>
      </c>
      <c r="D5" t="inlineStr">
        <is>
          <t>Great Lakes Can Co.</t>
        </is>
      </c>
      <c r="E5" t="inlineStr">
        <is>
          <t>Packaging</t>
        </is>
      </c>
      <c r="F5" t="inlineStr">
        <is>
          <t>CAN-16-BRT</t>
        </is>
      </c>
      <c r="G5" t="inlineStr">
        <is>
          <t>Q26-0136</t>
        </is>
      </c>
      <c r="H5" t="inlineStr">
        <is>
          <t>USD</t>
        </is>
      </c>
      <c r="I5" t="n">
        <v>159.43</v>
      </c>
      <c r="J5" t="n">
        <v>1</v>
      </c>
      <c r="K5">
        <f>IF(G5="",0,ROUND(I5*J5,4))</f>
        <v/>
      </c>
      <c r="L5" t="n">
        <v>40</v>
      </c>
      <c r="M5" t="n">
        <v>148.14</v>
      </c>
      <c r="N5" t="n">
        <v>1</v>
      </c>
      <c r="O5">
        <f>N5*K5*L5</f>
        <v/>
      </c>
      <c r="P5">
        <f>N5*M5*L5</f>
        <v/>
      </c>
      <c r="Q5">
        <f>ROUND(O5-P5,2)</f>
        <v/>
      </c>
    </row>
    <row r="6">
      <c r="A6" t="inlineStr">
        <is>
          <t>PO-5307</t>
        </is>
      </c>
      <c r="B6" s="2" t="n">
        <v>46063</v>
      </c>
      <c r="C6" t="inlineStr">
        <is>
          <t>Closed</t>
        </is>
      </c>
      <c r="D6" t="inlineStr">
        <is>
          <t>Prairie Heritage Malting Ltd.</t>
        </is>
      </c>
      <c r="E6" t="inlineStr">
        <is>
          <t>Malt &amp; grain</t>
        </is>
      </c>
      <c r="F6" t="inlineStr">
        <is>
          <t>MLT-MUN-55</t>
        </is>
      </c>
      <c r="G6" t="inlineStr">
        <is>
          <t>Q26-0135</t>
        </is>
      </c>
      <c r="H6" t="inlineStr">
        <is>
          <t>CAD</t>
        </is>
      </c>
      <c r="I6" t="n">
        <v>55.39</v>
      </c>
      <c r="J6" t="n">
        <v>0.73</v>
      </c>
      <c r="K6">
        <f>IF(G6="",0,ROUND(I6*J6,4))</f>
        <v/>
      </c>
      <c r="L6" t="n">
        <v>70</v>
      </c>
      <c r="M6" t="n">
        <v>36.05</v>
      </c>
      <c r="N6" t="n">
        <v>1</v>
      </c>
      <c r="O6">
        <f>N6*K6*L6</f>
        <v/>
      </c>
      <c r="P6">
        <f>N6*M6*L6</f>
        <v/>
      </c>
      <c r="Q6">
        <f>ROUND(O6-P6,2)</f>
        <v/>
      </c>
    </row>
    <row r="7">
      <c r="A7" t="inlineStr">
        <is>
          <t>PO-5311</t>
        </is>
      </c>
      <c r="B7" s="2" t="n">
        <v>46065</v>
      </c>
      <c r="C7" t="inlineStr">
        <is>
          <t>Received</t>
        </is>
      </c>
      <c r="D7" t="inlineStr">
        <is>
          <t>Northwest Chem Supply</t>
        </is>
      </c>
      <c r="E7" t="inlineStr">
        <is>
          <t>Cleaning &amp; sanitation</t>
        </is>
      </c>
      <c r="F7" t="inlineStr">
        <is>
          <t>CHM-ACD-5</t>
        </is>
      </c>
      <c r="G7" t="inlineStr">
        <is>
          <t>Q26-0137</t>
        </is>
      </c>
      <c r="H7" t="inlineStr">
        <is>
          <t>USD</t>
        </is>
      </c>
      <c r="I7" t="n">
        <v>90.67</v>
      </c>
      <c r="J7" t="n">
        <v>1</v>
      </c>
      <c r="K7">
        <f>IF(G7="",0,ROUND(I7*J7,4))</f>
        <v/>
      </c>
      <c r="L7" t="n">
        <v>35</v>
      </c>
      <c r="M7" t="n">
        <v>97.2</v>
      </c>
      <c r="N7" t="n">
        <v>1</v>
      </c>
      <c r="O7">
        <f>N7*K7*L7</f>
        <v/>
      </c>
      <c r="P7">
        <f>N7*M7*L7</f>
        <v/>
      </c>
      <c r="Q7">
        <f>ROUND(O7-P7,2)</f>
        <v/>
      </c>
    </row>
    <row r="8">
      <c r="A8" t="inlineStr">
        <is>
          <t>PO-5315</t>
        </is>
      </c>
      <c r="B8" s="2" t="n">
        <v>46083</v>
      </c>
      <c r="C8" t="inlineStr">
        <is>
          <t>Closed</t>
        </is>
      </c>
      <c r="D8" t="inlineStr">
        <is>
          <t>Great Lakes Can Co.</t>
        </is>
      </c>
      <c r="E8" t="inlineStr">
        <is>
          <t>Packaging</t>
        </is>
      </c>
      <c r="F8" t="inlineStr">
        <is>
          <t>TRY-24-EA</t>
        </is>
      </c>
      <c r="G8" t="inlineStr">
        <is>
          <t>Q26-0138</t>
        </is>
      </c>
      <c r="H8" t="inlineStr">
        <is>
          <t>USD</t>
        </is>
      </c>
      <c r="I8" t="n">
        <v>0.471</v>
      </c>
      <c r="J8" t="n">
        <v>1</v>
      </c>
      <c r="K8">
        <f>IF(G8="",0,ROUND(I8*J8,4))</f>
        <v/>
      </c>
      <c r="L8" t="n">
        <v>11000</v>
      </c>
      <c r="M8" t="n">
        <v>0.431</v>
      </c>
      <c r="N8" t="n">
        <v>1</v>
      </c>
      <c r="O8">
        <f>N8*K8*L8</f>
        <v/>
      </c>
      <c r="P8">
        <f>N8*M8*L8</f>
        <v/>
      </c>
      <c r="Q8">
        <f>ROUND(O8-P8,2)</f>
        <v/>
      </c>
    </row>
    <row r="9">
      <c r="A9" t="inlineStr">
        <is>
          <t>PO-5317</t>
        </is>
      </c>
      <c r="B9" s="2" t="n">
        <v>46087</v>
      </c>
      <c r="C9" t="inlineStr">
        <is>
          <t>Cancelled</t>
        </is>
      </c>
      <c r="D9" t="inlineStr">
        <is>
          <t>Great Lakes Can Co.</t>
        </is>
      </c>
      <c r="E9" t="inlineStr">
        <is>
          <t>Packaging</t>
        </is>
      </c>
      <c r="F9" t="inlineStr">
        <is>
          <t>CAR-4PK-1000</t>
        </is>
      </c>
      <c r="G9" t="inlineStr">
        <is>
          <t>Q26-0142</t>
        </is>
      </c>
      <c r="H9" t="inlineStr">
        <is>
          <t>USD</t>
        </is>
      </c>
      <c r="I9" t="n">
        <v>69.98999999999999</v>
      </c>
      <c r="J9" t="n">
        <v>1</v>
      </c>
      <c r="K9">
        <f>IF(G9="",0,ROUND(I9*J9,4))</f>
        <v/>
      </c>
      <c r="L9" t="n">
        <v>44</v>
      </c>
      <c r="M9" t="n">
        <v>68.89</v>
      </c>
      <c r="N9" t="n">
        <v>0</v>
      </c>
      <c r="O9">
        <f>N9*K9*L9</f>
        <v/>
      </c>
      <c r="P9">
        <f>N9*M9*L9</f>
        <v/>
      </c>
      <c r="Q9">
        <f>ROUND(O9-P9,2)</f>
        <v/>
      </c>
    </row>
    <row r="10">
      <c r="A10" t="inlineStr">
        <is>
          <t>PO-5320</t>
        </is>
      </c>
      <c r="B10" s="2" t="n">
        <v>46087</v>
      </c>
      <c r="C10" t="inlineStr">
        <is>
          <t>Closed</t>
        </is>
      </c>
      <c r="D10" t="inlineStr">
        <is>
          <t>Prairie Heritage Malting Ltd.</t>
        </is>
      </c>
      <c r="E10" t="inlineStr">
        <is>
          <t>Malt &amp; grain</t>
        </is>
      </c>
      <c r="F10" t="inlineStr">
        <is>
          <t>MLT-2ROW-55</t>
        </is>
      </c>
      <c r="G10" t="inlineStr">
        <is>
          <t>Q26-0141</t>
        </is>
      </c>
      <c r="H10" t="inlineStr">
        <is>
          <t>CAD</t>
        </is>
      </c>
      <c r="I10" t="n">
        <v>51.66</v>
      </c>
      <c r="J10" t="n">
        <v>0.73</v>
      </c>
      <c r="K10">
        <f>IF(G10="",0,ROUND(I10*J10,4))</f>
        <v/>
      </c>
      <c r="L10" t="n">
        <v>150</v>
      </c>
      <c r="M10" t="n">
        <v>33.51</v>
      </c>
      <c r="N10" t="n">
        <v>1</v>
      </c>
      <c r="O10">
        <f>N10*K10*L10</f>
        <v/>
      </c>
      <c r="P10">
        <f>N10*M10*L10</f>
        <v/>
      </c>
      <c r="Q10">
        <f>ROUND(O10-P10,2)</f>
        <v/>
      </c>
    </row>
    <row r="11">
      <c r="A11" t="inlineStr">
        <is>
          <t>PO-5321</t>
        </is>
      </c>
      <c r="B11" s="2" t="n">
        <v>46102</v>
      </c>
      <c r="C11" t="inlineStr">
        <is>
          <t>Received</t>
        </is>
      </c>
      <c r="D11" t="inlineStr">
        <is>
          <t>Hopfenhaus Hallertau GmbH</t>
        </is>
      </c>
      <c r="E11" t="inlineStr">
        <is>
          <t>Hops</t>
        </is>
      </c>
      <c r="F11" t="inlineStr">
        <is>
          <t>HOP-HMF-KG</t>
        </is>
      </c>
      <c r="G11" t="inlineStr">
        <is>
          <t>Q26-0149</t>
        </is>
      </c>
      <c r="H11" t="inlineStr">
        <is>
          <t>EUR</t>
        </is>
      </c>
      <c r="I11" t="n">
        <v>21.68</v>
      </c>
      <c r="J11" t="n">
        <v>1.08</v>
      </c>
      <c r="K11">
        <f>IF(G11="",0,ROUND(I11*J11,4))</f>
        <v/>
      </c>
      <c r="L11" t="n">
        <v>150</v>
      </c>
      <c r="M11" t="n">
        <v>23.32</v>
      </c>
      <c r="N11" t="n">
        <v>1</v>
      </c>
      <c r="O11">
        <f>N11*K11*L11</f>
        <v/>
      </c>
      <c r="P11">
        <f>N11*M11*L11</f>
        <v/>
      </c>
      <c r="Q11">
        <f>ROUND(O11-P11,2)</f>
        <v/>
      </c>
    </row>
    <row r="12">
      <c r="A12" t="inlineStr">
        <is>
          <t>PO-5321</t>
        </is>
      </c>
      <c r="B12" s="2" t="n">
        <v>46102</v>
      </c>
      <c r="C12" t="inlineStr">
        <is>
          <t>Received</t>
        </is>
      </c>
      <c r="D12" t="inlineStr">
        <is>
          <t>Hopfenhaus Hallertau GmbH</t>
        </is>
      </c>
      <c r="E12" t="inlineStr">
        <is>
          <t>Hops</t>
        </is>
      </c>
      <c r="F12" t="inlineStr">
        <is>
          <t>HOP-HMF-KG</t>
        </is>
      </c>
      <c r="G12" t="inlineStr">
        <is>
          <t>Q26-0144</t>
        </is>
      </c>
      <c r="H12" t="inlineStr">
        <is>
          <t>EUR</t>
        </is>
      </c>
      <c r="I12" t="n">
        <v>18.98</v>
      </c>
      <c r="J12" t="n">
        <v>1.08</v>
      </c>
      <c r="K12">
        <f>IF(G12="",0,ROUND(I12*J12,4))</f>
        <v/>
      </c>
      <c r="L12" t="n">
        <v>340</v>
      </c>
      <c r="M12" t="n">
        <v>20.04</v>
      </c>
      <c r="N12" t="n">
        <v>1</v>
      </c>
      <c r="O12">
        <f>N12*K12*L12</f>
        <v/>
      </c>
      <c r="P12">
        <f>N12*M12*L12</f>
        <v/>
      </c>
      <c r="Q12">
        <f>ROUND(O12-P12,2)</f>
        <v/>
      </c>
    </row>
    <row r="13">
      <c r="A13" t="inlineStr">
        <is>
          <t>PO-5322</t>
        </is>
      </c>
      <c r="B13" s="2" t="n">
        <v>46109</v>
      </c>
      <c r="C13" t="inlineStr">
        <is>
          <t>Closed</t>
        </is>
      </c>
      <c r="D13" t="inlineStr">
        <is>
          <t>Northwest Chem Supply</t>
        </is>
      </c>
      <c r="E13" t="inlineStr">
        <is>
          <t>Cleaning &amp; sanitation</t>
        </is>
      </c>
      <c r="F13" t="inlineStr">
        <is>
          <t>CHM-CIP-55</t>
        </is>
      </c>
      <c r="G13" t="inlineStr">
        <is>
          <t>Q26-0147</t>
        </is>
      </c>
      <c r="H13" t="inlineStr">
        <is>
          <t>USD</t>
        </is>
      </c>
      <c r="I13" t="n">
        <v>409.84</v>
      </c>
      <c r="J13" t="n">
        <v>1</v>
      </c>
      <c r="K13">
        <f>IF(G13="",0,ROUND(I13*J13,4))</f>
        <v/>
      </c>
      <c r="L13" t="n">
        <v>14</v>
      </c>
      <c r="M13" t="n">
        <v>379.09</v>
      </c>
      <c r="N13" t="n">
        <v>1</v>
      </c>
      <c r="O13">
        <f>N13*K13*L13</f>
        <v/>
      </c>
      <c r="P13">
        <f>N13*M13*L13</f>
        <v/>
      </c>
      <c r="Q13">
        <f>ROUND(O13-P13,2)</f>
        <v/>
      </c>
    </row>
    <row r="14">
      <c r="A14" t="inlineStr">
        <is>
          <t>PO-5326</t>
        </is>
      </c>
      <c r="B14" s="2" t="n">
        <v>46115</v>
      </c>
      <c r="C14" t="inlineStr">
        <is>
          <t>Closed</t>
        </is>
      </c>
      <c r="D14" t="inlineStr">
        <is>
          <t>Uline</t>
        </is>
      </c>
      <c r="E14" t="inlineStr">
        <is>
          <t>Packaging</t>
        </is>
      </c>
      <c r="F14" t="inlineStr">
        <is>
          <t>PKG-TAPE-36</t>
        </is>
      </c>
      <c r="K14">
        <f>IF(G14="",0,ROUND(I14*J14,4))</f>
        <v/>
      </c>
      <c r="L14" t="n">
        <v>5</v>
      </c>
      <c r="M14" t="n">
        <v>64.8</v>
      </c>
      <c r="N14" t="n">
        <v>0</v>
      </c>
      <c r="O14">
        <f>N14*K14*L14</f>
        <v/>
      </c>
      <c r="P14">
        <f>N14*M14*L14</f>
        <v/>
      </c>
      <c r="Q14">
        <f>ROUND(O14-P14,2)</f>
        <v/>
      </c>
    </row>
    <row r="15">
      <c r="A15" t="inlineStr">
        <is>
          <t>PO-5330</t>
        </is>
      </c>
      <c r="B15" s="2" t="n">
        <v>46117</v>
      </c>
      <c r="C15" t="inlineStr">
        <is>
          <t>Closed</t>
        </is>
      </c>
      <c r="D15" t="inlineStr">
        <is>
          <t>Northwest Chem Supply</t>
        </is>
      </c>
      <c r="E15" t="inlineStr">
        <is>
          <t>Cleaning &amp; sanitation</t>
        </is>
      </c>
      <c r="F15" t="inlineStr">
        <is>
          <t>CHM-PAA-5</t>
        </is>
      </c>
      <c r="G15" t="inlineStr">
        <is>
          <t>Q26-0151</t>
        </is>
      </c>
      <c r="H15" t="inlineStr">
        <is>
          <t>USD</t>
        </is>
      </c>
      <c r="I15" t="n">
        <v>99.22</v>
      </c>
      <c r="J15" t="n">
        <v>1</v>
      </c>
      <c r="K15">
        <f>IF(G15="",0,ROUND(I15*J15,4))</f>
        <v/>
      </c>
      <c r="L15" t="n">
        <v>31</v>
      </c>
      <c r="M15" t="n">
        <v>90.45999999999999</v>
      </c>
      <c r="N15" t="n">
        <v>1</v>
      </c>
      <c r="O15">
        <f>N15*K15*L15</f>
        <v/>
      </c>
      <c r="P15">
        <f>N15*M15*L15</f>
        <v/>
      </c>
      <c r="Q15">
        <f>ROUND(O15-P15,2)</f>
        <v/>
      </c>
    </row>
    <row r="16">
      <c r="A16" t="inlineStr">
        <is>
          <t>PO-5332</t>
        </is>
      </c>
      <c r="B16" s="2" t="n">
        <v>46121</v>
      </c>
      <c r="C16" t="inlineStr">
        <is>
          <t>Closed</t>
        </is>
      </c>
      <c r="D16" t="inlineStr">
        <is>
          <t>Hopfenhaus Hallertau GmbH</t>
        </is>
      </c>
      <c r="E16" t="inlineStr">
        <is>
          <t>Hops</t>
        </is>
      </c>
      <c r="F16" t="inlineStr">
        <is>
          <t>HOP-TET-KG</t>
        </is>
      </c>
      <c r="G16" t="inlineStr">
        <is>
          <t>Q26-0154</t>
        </is>
      </c>
      <c r="H16" t="inlineStr">
        <is>
          <t>EUR</t>
        </is>
      </c>
      <c r="I16" t="n">
        <v>18.17</v>
      </c>
      <c r="J16" t="n">
        <v>1.08</v>
      </c>
      <c r="K16">
        <f>IF(G16="",0,ROUND(I16*J16,4))</f>
        <v/>
      </c>
      <c r="L16" t="n">
        <v>150</v>
      </c>
      <c r="M16" t="n">
        <v>19.83</v>
      </c>
      <c r="N16" t="n">
        <v>1</v>
      </c>
      <c r="O16">
        <f>N16*K16*L16</f>
        <v/>
      </c>
      <c r="P16">
        <f>N16*M16*L16</f>
        <v/>
      </c>
      <c r="Q16">
        <f>ROUND(O16-P16,2)</f>
        <v/>
      </c>
    </row>
    <row r="17">
      <c r="A17" t="inlineStr">
        <is>
          <t>PO-5332</t>
        </is>
      </c>
      <c r="B17" s="2" t="n">
        <v>46121</v>
      </c>
      <c r="C17" t="inlineStr">
        <is>
          <t>Closed</t>
        </is>
      </c>
      <c r="D17" t="inlineStr">
        <is>
          <t>Hopfenhaus Hallertau GmbH</t>
        </is>
      </c>
      <c r="E17" t="inlineStr">
        <is>
          <t>Hops</t>
        </is>
      </c>
      <c r="F17" t="inlineStr">
        <is>
          <t>HOP-SAZ-KG</t>
        </is>
      </c>
      <c r="G17" t="inlineStr">
        <is>
          <t>Q26-0152</t>
        </is>
      </c>
      <c r="H17" t="inlineStr">
        <is>
          <t>EUR</t>
        </is>
      </c>
      <c r="I17" t="n">
        <v>17.52</v>
      </c>
      <c r="J17" t="n">
        <v>1.08</v>
      </c>
      <c r="K17">
        <f>IF(G17="",0,ROUND(I17*J17,4))</f>
        <v/>
      </c>
      <c r="L17" t="n">
        <v>200</v>
      </c>
      <c r="M17" t="n">
        <v>17.19</v>
      </c>
      <c r="N17" t="n">
        <v>1</v>
      </c>
      <c r="O17">
        <f>N17*K17*L17</f>
        <v/>
      </c>
      <c r="P17">
        <f>N17*M17*L17</f>
        <v/>
      </c>
      <c r="Q17">
        <f>ROUND(O17-P17,2)</f>
        <v/>
      </c>
    </row>
    <row r="18">
      <c r="A18" t="inlineStr">
        <is>
          <t>PO-5335</t>
        </is>
      </c>
      <c r="B18" s="2" t="n">
        <v>46130</v>
      </c>
      <c r="C18" t="inlineStr">
        <is>
          <t>Closed</t>
        </is>
      </c>
      <c r="D18" t="inlineStr">
        <is>
          <t>Cascade Lab Supply</t>
        </is>
      </c>
      <c r="E18" t="inlineStr">
        <is>
          <t>Lab &amp; QA</t>
        </is>
      </c>
      <c r="F18" t="inlineStr">
        <is>
          <t>LAB-VIA-KIT</t>
        </is>
      </c>
      <c r="G18" t="inlineStr">
        <is>
          <t>Q26-0157</t>
        </is>
      </c>
      <c r="H18" t="inlineStr">
        <is>
          <t>USD</t>
        </is>
      </c>
      <c r="I18" t="n">
        <v>135.9</v>
      </c>
      <c r="J18" t="n">
        <v>1</v>
      </c>
      <c r="K18">
        <f>IF(G18="",0,ROUND(I18*J18,4))</f>
        <v/>
      </c>
      <c r="L18" t="n">
        <v>5</v>
      </c>
      <c r="M18" t="n">
        <v>135.31</v>
      </c>
      <c r="N18" t="n">
        <v>1</v>
      </c>
      <c r="O18">
        <f>N18*K18*L18</f>
        <v/>
      </c>
      <c r="P18">
        <f>N18*M18*L18</f>
        <v/>
      </c>
      <c r="Q18">
        <f>ROUND(O18-P18,2)</f>
        <v/>
      </c>
    </row>
    <row r="19">
      <c r="A19" t="inlineStr">
        <is>
          <t>PO-5336</t>
        </is>
      </c>
      <c r="B19" s="2" t="n">
        <v>46132</v>
      </c>
      <c r="C19" t="inlineStr">
        <is>
          <t>Closed</t>
        </is>
      </c>
      <c r="D19" t="inlineStr">
        <is>
          <t>Amazon Business</t>
        </is>
      </c>
      <c r="E19" t="inlineStr">
        <is>
          <t>Lab &amp; QA</t>
        </is>
      </c>
      <c r="F19" t="inlineStr">
        <is>
          <t>LAB-PIP-SET</t>
        </is>
      </c>
      <c r="K19">
        <f>IF(G19="",0,ROUND(I19*J19,4))</f>
        <v/>
      </c>
      <c r="L19" t="n">
        <v>2</v>
      </c>
      <c r="M19" t="n">
        <v>189</v>
      </c>
      <c r="N19" t="n">
        <v>0</v>
      </c>
      <c r="O19">
        <f>N19*K19*L19</f>
        <v/>
      </c>
      <c r="P19">
        <f>N19*M19*L19</f>
        <v/>
      </c>
      <c r="Q19">
        <f>ROUND(O19-P19,2)</f>
        <v/>
      </c>
    </row>
    <row r="20">
      <c r="A20" t="inlineStr">
        <is>
          <t>PO-5340</t>
        </is>
      </c>
      <c r="B20" s="2" t="n">
        <v>46137</v>
      </c>
      <c r="C20" t="inlineStr">
        <is>
          <t>Closed</t>
        </is>
      </c>
      <c r="D20" t="inlineStr">
        <is>
          <t>Northwest Chem Supply</t>
        </is>
      </c>
      <c r="E20" t="inlineStr">
        <is>
          <t>Cleaning &amp; sanitation</t>
        </is>
      </c>
      <c r="F20" t="inlineStr">
        <is>
          <t>CHM-CIP-55</t>
        </is>
      </c>
      <c r="G20" t="inlineStr">
        <is>
          <t>Q26-0159</t>
        </is>
      </c>
      <c r="H20" t="inlineStr">
        <is>
          <t>USD</t>
        </is>
      </c>
      <c r="I20" t="n">
        <v>423.55</v>
      </c>
      <c r="J20" t="n">
        <v>1</v>
      </c>
      <c r="K20">
        <f>IF(G20="",0,ROUND(I20*J20,4))</f>
        <v/>
      </c>
      <c r="L20" t="n">
        <v>14</v>
      </c>
      <c r="M20" t="n">
        <v>392.26</v>
      </c>
      <c r="N20" t="n">
        <v>1</v>
      </c>
      <c r="O20">
        <f>N20*K20*L20</f>
        <v/>
      </c>
      <c r="P20">
        <f>N20*M20*L20</f>
        <v/>
      </c>
      <c r="Q20">
        <f>ROUND(O20-P20,2)</f>
        <v/>
      </c>
    </row>
    <row r="21">
      <c r="A21" t="inlineStr">
        <is>
          <t>PO-5341</t>
        </is>
      </c>
      <c r="B21" s="2" t="n">
        <v>46149</v>
      </c>
      <c r="C21" t="inlineStr">
        <is>
          <t>Closed</t>
        </is>
      </c>
      <c r="D21" t="inlineStr">
        <is>
          <t>Great Lakes Can Co.</t>
        </is>
      </c>
      <c r="E21" t="inlineStr">
        <is>
          <t>Packaging</t>
        </is>
      </c>
      <c r="F21" t="inlineStr">
        <is>
          <t>CAR-4PK-1000</t>
        </is>
      </c>
      <c r="G21" t="inlineStr">
        <is>
          <t>Q26-0163</t>
        </is>
      </c>
      <c r="H21" t="inlineStr">
        <is>
          <t>USD</t>
        </is>
      </c>
      <c r="I21" t="n">
        <v>70.93000000000001</v>
      </c>
      <c r="J21" t="n">
        <v>1</v>
      </c>
      <c r="K21">
        <f>IF(G21="",0,ROUND(I21*J21,4))</f>
        <v/>
      </c>
      <c r="L21" t="n">
        <v>35</v>
      </c>
      <c r="M21" t="n">
        <v>65.83</v>
      </c>
      <c r="N21" t="n">
        <v>1</v>
      </c>
      <c r="O21">
        <f>N21*K21*L21</f>
        <v/>
      </c>
      <c r="P21">
        <f>N21*M21*L21</f>
        <v/>
      </c>
      <c r="Q21">
        <f>ROUND(O21-P21,2)</f>
        <v/>
      </c>
    </row>
    <row r="22">
      <c r="A22" t="inlineStr">
        <is>
          <t>PO-5344</t>
        </is>
      </c>
      <c r="B22" s="2" t="n">
        <v>46151</v>
      </c>
      <c r="C22" t="inlineStr">
        <is>
          <t>Open</t>
        </is>
      </c>
      <c r="D22" t="inlineStr">
        <is>
          <t>Prairie Heritage Malting Ltd.</t>
        </is>
      </c>
      <c r="E22" t="inlineStr">
        <is>
          <t>Malt &amp; grain</t>
        </is>
      </c>
      <c r="F22" t="inlineStr">
        <is>
          <t>MLT-MUN-55</t>
        </is>
      </c>
      <c r="G22" t="inlineStr">
        <is>
          <t>Q26-0160</t>
        </is>
      </c>
      <c r="H22" t="inlineStr">
        <is>
          <t>CAD</t>
        </is>
      </c>
      <c r="I22" t="n">
        <v>55</v>
      </c>
      <c r="J22" t="n">
        <v>0.73</v>
      </c>
      <c r="K22">
        <f>IF(G22="",0,ROUND(I22*J22,4))</f>
        <v/>
      </c>
      <c r="L22" t="n">
        <v>100</v>
      </c>
      <c r="M22" t="n">
        <v>36.62</v>
      </c>
      <c r="N22" t="n">
        <v>1</v>
      </c>
      <c r="O22">
        <f>N22*K22*L22</f>
        <v/>
      </c>
      <c r="P22">
        <f>N22*M22*L22</f>
        <v/>
      </c>
      <c r="Q22">
        <f>ROUND(O22-P22,2)</f>
        <v/>
      </c>
    </row>
    <row r="23">
      <c r="A23" t="inlineStr">
        <is>
          <t>PO-5346</t>
        </is>
      </c>
      <c r="B23" s="2" t="n">
        <v>46159</v>
      </c>
      <c r="C23" t="inlineStr">
        <is>
          <t>Received</t>
        </is>
      </c>
      <c r="D23" t="inlineStr">
        <is>
          <t>Great Lakes Can Co.</t>
        </is>
      </c>
      <c r="E23" t="inlineStr">
        <is>
          <t>Packaging</t>
        </is>
      </c>
      <c r="F23" t="inlineStr">
        <is>
          <t>TRY-24-EA</t>
        </is>
      </c>
      <c r="G23" t="inlineStr">
        <is>
          <t>Q26-0166</t>
        </is>
      </c>
      <c r="H23" t="inlineStr">
        <is>
          <t>USD</t>
        </is>
      </c>
      <c r="I23" t="n">
        <v>0.578</v>
      </c>
      <c r="J23" t="n">
        <v>1</v>
      </c>
      <c r="K23">
        <f>IF(G23="",0,ROUND(I23*J23,4))</f>
        <v/>
      </c>
      <c r="L23" t="n">
        <v>1000</v>
      </c>
      <c r="M23" t="n">
        <v>0.543</v>
      </c>
      <c r="N23" t="n">
        <v>1</v>
      </c>
      <c r="O23">
        <f>N23*K23*L23</f>
        <v/>
      </c>
      <c r="P23">
        <f>N23*M23*L23</f>
        <v/>
      </c>
      <c r="Q23">
        <f>ROUND(O23-P23,2)</f>
        <v/>
      </c>
    </row>
    <row r="24">
      <c r="A24" t="inlineStr">
        <is>
          <t>PO-5347</t>
        </is>
      </c>
      <c r="B24" s="2" t="n">
        <v>46161</v>
      </c>
      <c r="C24" t="inlineStr">
        <is>
          <t>Closed</t>
        </is>
      </c>
      <c r="D24" t="inlineStr">
        <is>
          <t>Hopfenhaus Hallertau GmbH</t>
        </is>
      </c>
      <c r="E24" t="inlineStr">
        <is>
          <t>Hops</t>
        </is>
      </c>
      <c r="F24" t="inlineStr">
        <is>
          <t>HOP-SAZ-KG</t>
        </is>
      </c>
      <c r="G24" t="inlineStr">
        <is>
          <t>Q26-0167</t>
        </is>
      </c>
      <c r="H24" t="inlineStr">
        <is>
          <t>EUR</t>
        </is>
      </c>
      <c r="I24" t="n">
        <v>16.32</v>
      </c>
      <c r="J24" t="n">
        <v>1.08</v>
      </c>
      <c r="K24">
        <f>IF(G24="",0,ROUND(I24*J24,4))</f>
        <v/>
      </c>
      <c r="L24" t="n">
        <v>220</v>
      </c>
      <c r="M24" t="n">
        <v>15.74</v>
      </c>
      <c r="N24" t="n">
        <v>1</v>
      </c>
      <c r="O24">
        <f>N24*K24*L24</f>
        <v/>
      </c>
      <c r="P24">
        <f>N24*M24*L24</f>
        <v/>
      </c>
      <c r="Q24">
        <f>ROUND(O24-P24,2)</f>
        <v/>
      </c>
    </row>
    <row r="25">
      <c r="A25" t="inlineStr">
        <is>
          <t>PO-5349</t>
        </is>
      </c>
      <c r="B25" s="2" t="n">
        <v>46166</v>
      </c>
      <c r="C25" t="inlineStr">
        <is>
          <t>Closed</t>
        </is>
      </c>
      <c r="D25" t="inlineStr">
        <is>
          <t>Prairie Heritage Malting Ltd.</t>
        </is>
      </c>
      <c r="E25" t="inlineStr">
        <is>
          <t>Malt &amp; grain</t>
        </is>
      </c>
      <c r="F25" t="inlineStr">
        <is>
          <t>MLT-2ROW-55</t>
        </is>
      </c>
      <c r="G25" t="inlineStr">
        <is>
          <t>Q26-0168</t>
        </is>
      </c>
      <c r="H25" t="inlineStr">
        <is>
          <t>CAD</t>
        </is>
      </c>
      <c r="I25" t="n">
        <v>57.69</v>
      </c>
      <c r="J25" t="n">
        <v>0.73</v>
      </c>
      <c r="K25">
        <f>IF(G25="",0,ROUND(I25*J25,4))</f>
        <v/>
      </c>
      <c r="L25" t="n">
        <v>120</v>
      </c>
      <c r="M25" t="n">
        <v>39.73</v>
      </c>
      <c r="N25" t="n">
        <v>1</v>
      </c>
      <c r="O25">
        <f>N25*K25*L25</f>
        <v/>
      </c>
      <c r="P25">
        <f>N25*M25*L25</f>
        <v/>
      </c>
      <c r="Q25">
        <f>ROUND(O25-P25,2)</f>
        <v/>
      </c>
    </row>
    <row r="26">
      <c r="A26" t="inlineStr">
        <is>
          <t>PO-5349</t>
        </is>
      </c>
      <c r="B26" s="2" t="n">
        <v>46166</v>
      </c>
      <c r="C26" t="inlineStr">
        <is>
          <t>Closed</t>
        </is>
      </c>
      <c r="D26" t="inlineStr">
        <is>
          <t>Prairie Heritage Malting Ltd.</t>
        </is>
      </c>
      <c r="E26" t="inlineStr">
        <is>
          <t>Malt &amp; grain</t>
        </is>
      </c>
      <c r="F26" t="inlineStr">
        <is>
          <t>MLT-C60-55</t>
        </is>
      </c>
      <c r="G26" t="inlineStr">
        <is>
          <t>Q26-0169</t>
        </is>
      </c>
      <c r="H26" t="inlineStr">
        <is>
          <t>CAD</t>
        </is>
      </c>
      <c r="I26" t="n">
        <v>58.05</v>
      </c>
      <c r="J26" t="n">
        <v>0.73</v>
      </c>
      <c r="K26">
        <f>IF(G26="",0,ROUND(I26*J26,4))</f>
        <v/>
      </c>
      <c r="L26" t="n">
        <v>60</v>
      </c>
      <c r="M26" t="n">
        <v>40.98</v>
      </c>
      <c r="N26" t="n">
        <v>1</v>
      </c>
      <c r="O26">
        <f>N26*K26*L26</f>
        <v/>
      </c>
      <c r="P26">
        <f>N26*M26*L26</f>
        <v/>
      </c>
      <c r="Q26">
        <f>ROUND(O26-P26,2)</f>
        <v/>
      </c>
    </row>
    <row r="27">
      <c r="A27" t="inlineStr">
        <is>
          <t>PO-5350</t>
        </is>
      </c>
      <c r="B27" s="2" t="n">
        <v>46189</v>
      </c>
      <c r="C27" t="inlineStr">
        <is>
          <t>Cancelled</t>
        </is>
      </c>
      <c r="D27" t="inlineStr">
        <is>
          <t>Prairie Heritage Malting Ltd.</t>
        </is>
      </c>
      <c r="E27" t="inlineStr">
        <is>
          <t>Malt &amp; grain</t>
        </is>
      </c>
      <c r="F27" t="inlineStr">
        <is>
          <t>MLT-C60-55</t>
        </is>
      </c>
      <c r="G27" t="inlineStr">
        <is>
          <t>Q26-0171</t>
        </is>
      </c>
      <c r="H27" t="inlineStr">
        <is>
          <t>CAD</t>
        </is>
      </c>
      <c r="I27" t="n">
        <v>64.05</v>
      </c>
      <c r="J27" t="n">
        <v>0.73</v>
      </c>
      <c r="K27">
        <f>IF(G27="",0,ROUND(I27*J27,4))</f>
        <v/>
      </c>
      <c r="L27" t="n">
        <v>40</v>
      </c>
      <c r="M27" t="n">
        <v>45.97</v>
      </c>
      <c r="N27" t="n">
        <v>0</v>
      </c>
      <c r="O27">
        <f>N27*K27*L27</f>
        <v/>
      </c>
      <c r="P27">
        <f>N27*M27*L27</f>
        <v/>
      </c>
      <c r="Q27">
        <f>ROUND(O27-P27,2)</f>
        <v/>
      </c>
    </row>
    <row r="28">
      <c r="A28" t="inlineStr">
        <is>
          <t>PO-5353</t>
        </is>
      </c>
      <c r="B28" s="2" t="n">
        <v>46193</v>
      </c>
      <c r="C28" t="inlineStr">
        <is>
          <t>Open</t>
        </is>
      </c>
      <c r="D28" t="inlineStr">
        <is>
          <t>Hopfenhaus Hallertau GmbH</t>
        </is>
      </c>
      <c r="E28" t="inlineStr">
        <is>
          <t>Hops</t>
        </is>
      </c>
      <c r="F28" t="inlineStr">
        <is>
          <t>HOP-TET-KG</t>
        </is>
      </c>
      <c r="G28" t="inlineStr">
        <is>
          <t>Q26-0172</t>
        </is>
      </c>
      <c r="H28" t="inlineStr">
        <is>
          <t>EUR</t>
        </is>
      </c>
      <c r="I28" t="n">
        <v>15.18</v>
      </c>
      <c r="J28" t="n">
        <v>1.08</v>
      </c>
      <c r="K28">
        <f>IF(G28="",0,ROUND(I28*J28,4))</f>
        <v/>
      </c>
      <c r="L28" t="n">
        <v>240</v>
      </c>
      <c r="M28" t="n">
        <v>15.09</v>
      </c>
      <c r="N28" t="n">
        <v>1</v>
      </c>
      <c r="O28">
        <f>N28*K28*L28</f>
        <v/>
      </c>
      <c r="P28">
        <f>N28*M28*L28</f>
        <v/>
      </c>
      <c r="Q28">
        <f>ROUND(O28-P28,2)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